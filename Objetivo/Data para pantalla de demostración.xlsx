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ianet-my.sharepoint.com/personal/marketing_stia_net/Documents/Escritorio/Stia Comercializadora/CRM/"/>
    </mc:Choice>
  </mc:AlternateContent>
  <xr:revisionPtr revIDLastSave="77" documentId="8_{9B4AD2C8-B38B-421A-BFED-E7DDB89AC3A2}" xr6:coauthVersionLast="47" xr6:coauthVersionMax="47" xr10:uidLastSave="{6A27F051-E1C8-4926-9E9A-DF0A88BB9EBD}"/>
  <bookViews>
    <workbookView xWindow="-108" yWindow="-108" windowWidth="23256" windowHeight="12576" activeTab="3" xr2:uid="{00000000-000D-0000-FFFF-FFFF00000000}"/>
  </bookViews>
  <sheets>
    <sheet name="Vencimiento Ofertas" sheetId="1" r:id="rId1"/>
    <sheet name="Cuentas por cobrar" sheetId="4" r:id="rId2"/>
    <sheet name="Ventas" sheetId="5" r:id="rId3"/>
    <sheet name="Ofertas perdidas" sheetId="9" r:id="rId4"/>
  </sheets>
  <definedNames>
    <definedName name="_xlnm._FilterDatabase" localSheetId="1" hidden="1">'Cuentas por cobrar'!$A$1:$I$63</definedName>
    <definedName name="_xlnm._FilterDatabase" localSheetId="3" hidden="1">'Ofertas perdidas'!$A$1:$H$45</definedName>
    <definedName name="_xlnm._FilterDatabase" localSheetId="0" hidden="1">'Vencimiento Ofertas'!$A$1:$I$194</definedName>
    <definedName name="_xlnm._FilterDatabase" localSheetId="2" hidden="1">Ventas!$A$1:$D$124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1" i="4" l="1"/>
  <c r="I52" i="4"/>
  <c r="I53" i="4"/>
  <c r="I54" i="4"/>
  <c r="I55" i="4"/>
  <c r="I56" i="4"/>
  <c r="I57" i="4"/>
  <c r="I58" i="4"/>
  <c r="I59" i="4"/>
  <c r="I60" i="4"/>
  <c r="I61" i="4"/>
  <c r="I62" i="4"/>
  <c r="I63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34" i="4"/>
  <c r="I18" i="4"/>
  <c r="I2" i="4"/>
  <c r="I50" i="4"/>
  <c r="H183" i="1"/>
  <c r="H184" i="1"/>
  <c r="H185" i="1"/>
  <c r="H186" i="1"/>
  <c r="H187" i="1"/>
  <c r="H188" i="1"/>
  <c r="H189" i="1"/>
  <c r="H190" i="1"/>
  <c r="H191" i="1"/>
  <c r="H192" i="1"/>
  <c r="H193" i="1"/>
  <c r="H194" i="1"/>
  <c r="H182" i="1"/>
  <c r="H157" i="1"/>
  <c r="H158" i="1"/>
  <c r="H159" i="1"/>
  <c r="H160" i="1"/>
  <c r="H161" i="1"/>
  <c r="H162" i="1"/>
  <c r="H163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37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03" i="1"/>
  <c r="H96" i="1"/>
  <c r="H97" i="1"/>
  <c r="H98" i="1"/>
  <c r="H99" i="1"/>
  <c r="H100" i="1"/>
  <c r="H101" i="1"/>
  <c r="H10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82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55" i="1"/>
  <c r="H43" i="1"/>
  <c r="H44" i="1"/>
  <c r="H45" i="1"/>
  <c r="H46" i="1"/>
  <c r="H47" i="1"/>
  <c r="H48" i="1"/>
  <c r="H49" i="1"/>
  <c r="H50" i="1"/>
  <c r="H51" i="1"/>
  <c r="H52" i="1"/>
  <c r="H53" i="1"/>
  <c r="H54" i="1"/>
  <c r="H42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27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13" i="1"/>
  <c r="H3" i="1"/>
  <c r="H4" i="1"/>
  <c r="H5" i="1"/>
  <c r="H6" i="1"/>
  <c r="H7" i="1"/>
  <c r="H8" i="1"/>
  <c r="H9" i="1"/>
  <c r="H10" i="1"/>
  <c r="H11" i="1"/>
  <c r="H12" i="1"/>
  <c r="H2" i="1"/>
</calcChain>
</file>

<file path=xl/sharedStrings.xml><?xml version="1.0" encoding="utf-8"?>
<sst xmlns="http://schemas.openxmlformats.org/spreadsheetml/2006/main" count="1982" uniqueCount="126">
  <si>
    <t>Fecha</t>
  </si>
  <si>
    <t>Cliente</t>
  </si>
  <si>
    <t>COOPERATIVA DE PRODUCTORES DE LECHE DOS PINOS RL</t>
  </si>
  <si>
    <t>CORPORAC. DE COMPAÑIAS AGROINDUSTRIALES CCA S.R.L.</t>
  </si>
  <si>
    <t>CORPORACION PIPASA S.R.L</t>
  </si>
  <si>
    <t>SIGMA ALIMENTOS DE COSTA RICA S.A.</t>
  </si>
  <si>
    <t>SAVI SAN JOSÉ DE ALAJUELA S.A</t>
  </si>
  <si>
    <t>INDUSTRIAS CARNICAS DE MONTERREY DE COSTA RICA S.A</t>
  </si>
  <si>
    <t>PRESTO SERVICIO DE ALIMENTOS S.A.</t>
  </si>
  <si>
    <t>PRODUCTOS TOLEDANO S.A.</t>
  </si>
  <si>
    <t>INDUSTRIAS SALQUI DE CARTAGO LTDA.</t>
  </si>
  <si>
    <t>CORPORAC. DE COMPAÑIAS AGROINDUSTRIALES CCA S.R.L</t>
  </si>
  <si>
    <t>CORPORACION MEGA SUPER</t>
  </si>
  <si>
    <t>POLLOS PURA VIDA S.A.</t>
  </si>
  <si>
    <t>INDUSTRIAS QUIFER UNO S.A</t>
  </si>
  <si>
    <t>GRUPO EMPRESARIAL DE SUPERMERCADOS S.A (G.E.S.S.A)</t>
  </si>
  <si>
    <t>FABRICA DE EMBUTIDOS EUROPEA S.A. DE C.V.</t>
  </si>
  <si>
    <t>FABRICA DE EMBUTIDOS EUROPEA SA CV</t>
  </si>
  <si>
    <t>RONALD PORTILLA HERRERA</t>
  </si>
  <si>
    <t>SOYA VIDA S.A.</t>
  </si>
  <si>
    <t>MAR Y TIERRA BAJO CERO SRL</t>
  </si>
  <si>
    <t>INVERSIONES CESPEDES MONESTEL</t>
  </si>
  <si>
    <t>SUPERMERCADOS LA COLONIA S.A. DE C.V.</t>
  </si>
  <si>
    <t>PANAMA BAKING FACTORY S.A.</t>
  </si>
  <si>
    <t>LA TORRE ESPAÑOLA S.A.</t>
  </si>
  <si>
    <t>FRUTA SANA FSL SRL</t>
  </si>
  <si>
    <t>AQUAFINCA SAINT PETER FISH S.A DE S.V</t>
  </si>
  <si>
    <t>MAR PROFUNDO INTERNACIONAL S.A.</t>
  </si>
  <si>
    <t>GRUPO AGROINDUSTRIAL TRES JOTAS, S.A.</t>
  </si>
  <si>
    <t>INVERSIONES VALERI IV, S.A</t>
  </si>
  <si>
    <t>CALLEJA S.A. DE C.V</t>
  </si>
  <si>
    <t>Saldos Centro Internacional de Inversiones CII</t>
  </si>
  <si>
    <t>EMBUTIDOS COLLS S.A.</t>
  </si>
  <si>
    <t>DISTRIBUIDORA DE PRODUCTOS COMESTIBLES S DE RL</t>
  </si>
  <si>
    <t>INVERSIONES ARANZA S. DE R. L. (INVARANZA)</t>
  </si>
  <si>
    <t>COMPANIA AVICOLA DE CENTROAMERICA S.A DE C.V</t>
  </si>
  <si>
    <t>INDUSTRIAS DELMOR S.A.  RUC J0310000003718</t>
  </si>
  <si>
    <t>VEGETALES FRESQUITA S.A.</t>
  </si>
  <si>
    <t>FRUTA INTERNACIONAL S.A.</t>
  </si>
  <si>
    <t>CARNICERIA KATTIA S.A.</t>
  </si>
  <si>
    <t>ARCE AVICOLA S.A</t>
  </si>
  <si>
    <t>GRANJA AVICOLA LOS ONCE, S.A.</t>
  </si>
  <si>
    <t>INDUSTRIAS GAREND S.A.</t>
  </si>
  <si>
    <t>AGROINDUSTRIAL PROAVE S.A</t>
  </si>
  <si>
    <t>TOTAL SEAFOOD S.A.</t>
  </si>
  <si>
    <t>POLLOS PURA VIDA</t>
  </si>
  <si>
    <t>GRANJA AVICOLA LOS ONCE SA</t>
  </si>
  <si>
    <t>DISTRIBUIDORA RETANA Y SALMERON RYS S.A</t>
  </si>
  <si>
    <t>ESCULTURA DE JADE S.A.</t>
  </si>
  <si>
    <t>INDUSTRIAS KOSOKUNDAI S.A. (NIT 6368627-9)</t>
  </si>
  <si>
    <t>INVERSIONES ZAMU DE ALAJUELA S.A.</t>
  </si>
  <si>
    <t>ARRENDADORA CENTROAMERICANA S.A.</t>
  </si>
  <si>
    <t>CARNES LA UNICA S.A.</t>
  </si>
  <si>
    <t>ALIMENTOS VALENCIANO S.R.L.</t>
  </si>
  <si>
    <t>PRODUCTOS CARNICOS S.A. DE C.V.</t>
  </si>
  <si>
    <t>Clips</t>
  </si>
  <si>
    <t>Condimentos</t>
  </si>
  <si>
    <t>Repuestos</t>
  </si>
  <si>
    <t>Maquinaria</t>
  </si>
  <si>
    <t>Fundas</t>
  </si>
  <si>
    <t>Rollos</t>
  </si>
  <si>
    <t>Material Impr. Stia</t>
  </si>
  <si>
    <t>Film</t>
  </si>
  <si>
    <t>Bolsas Thermo</t>
  </si>
  <si>
    <t>Oferta</t>
  </si>
  <si>
    <t>Vendedor</t>
  </si>
  <si>
    <t>Carlos Araya</t>
  </si>
  <si>
    <t>Marco Rodriguez</t>
  </si>
  <si>
    <t>Alexis Delgado</t>
  </si>
  <si>
    <t>Freddy Quiros</t>
  </si>
  <si>
    <t>Randall Zuñiga</t>
  </si>
  <si>
    <t>País</t>
  </si>
  <si>
    <t>Costa Rica</t>
  </si>
  <si>
    <t>Karla Hernadez</t>
  </si>
  <si>
    <t>Olvin Cruz</t>
  </si>
  <si>
    <t>Winder Zerpa</t>
  </si>
  <si>
    <t>Guillermo Mendez</t>
  </si>
  <si>
    <t>El Salvador</t>
  </si>
  <si>
    <t>Honduras</t>
  </si>
  <si>
    <t>Panamá</t>
  </si>
  <si>
    <t>Guatemala</t>
  </si>
  <si>
    <t>Monto ($)</t>
  </si>
  <si>
    <t>Categoría</t>
  </si>
  <si>
    <t>Producto</t>
  </si>
  <si>
    <t>Material de empaque</t>
  </si>
  <si>
    <t>Servicio técnico</t>
  </si>
  <si>
    <t>Bolsas al vacío</t>
  </si>
  <si>
    <t>Empacadora</t>
  </si>
  <si>
    <t>Amasadora</t>
  </si>
  <si>
    <t>Batidora</t>
  </si>
  <si>
    <t>Embutidora</t>
  </si>
  <si>
    <t>Detector de metales</t>
  </si>
  <si>
    <t>Fecha de vencimiento/ cierre</t>
  </si>
  <si>
    <t>Material de Empaque</t>
  </si>
  <si>
    <t>Julio</t>
  </si>
  <si>
    <t>Servicio Técnico</t>
  </si>
  <si>
    <t>Junio</t>
  </si>
  <si>
    <t>Mayo</t>
  </si>
  <si>
    <t>Marzo</t>
  </si>
  <si>
    <t>Febrero</t>
  </si>
  <si>
    <t>Enero</t>
  </si>
  <si>
    <t>Abril</t>
  </si>
  <si>
    <t>Venta 2025</t>
  </si>
  <si>
    <t>Clasificación</t>
  </si>
  <si>
    <t>Rebanadora</t>
  </si>
  <si>
    <t>Joyce Garita</t>
  </si>
  <si>
    <t>Factura</t>
  </si>
  <si>
    <t>AUTO MERCADO S.A.</t>
  </si>
  <si>
    <t>Tumbler de vacío</t>
  </si>
  <si>
    <t>Mario Marin</t>
  </si>
  <si>
    <t>Ivan Arceyut</t>
  </si>
  <si>
    <t>Cortadora</t>
  </si>
  <si>
    <t>Mariela Ramirez</t>
  </si>
  <si>
    <t>POLLOS DELICIAS SALVADOREÑAS</t>
  </si>
  <si>
    <t>AUTO MERCADO S.A</t>
  </si>
  <si>
    <t>Motivo</t>
  </si>
  <si>
    <t>Precio</t>
  </si>
  <si>
    <t>Disponibilidad</t>
  </si>
  <si>
    <t>Calidad</t>
  </si>
  <si>
    <t>Tiempos de entrega</t>
  </si>
  <si>
    <t>Propuesta técnica más atractiva</t>
  </si>
  <si>
    <t>Cambio en la prioridad o presupuesto</t>
  </si>
  <si>
    <t>Decisión corporativa o política interna</t>
  </si>
  <si>
    <t>Proveedor histórico o relación consolidada</t>
  </si>
  <si>
    <t>Condiciones de pago</t>
  </si>
  <si>
    <t xml:space="preserve">Enero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</si>
</sst>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&quot;₡&quot;#,##0"/>
    <numFmt numFmtId="171" formatCode="_-[$$-540A]* #,##0_ ;_-[$$-540A]* \-#,##0\ ;_-[$$-540A]* &quot;-&quot;??_ ;_-@_ "/>
  </numFmts>
  <fonts count="22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4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0" fontId="2" fillId="0" borderId="0"/>
    <xf numFmtId="0" fontId="1" fillId="0" borderId="0"/>
  </cellStyleXfs>
  <cellXfs count="15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20" fillId="0" borderId="10" xfId="0" applyFont="1" applyBorder="1"/>
    <xf numFmtId="1" fontId="0" fillId="0" borderId="10" xfId="0" applyNumberFormat="1" applyBorder="1"/>
    <xf numFmtId="0" fontId="20" fillId="0" borderId="10" xfId="0" applyFont="1" applyBorder="1" applyAlignment="1">
      <alignment horizontal="center"/>
    </xf>
    <xf numFmtId="0" fontId="1" fillId="0" borderId="0" xfId="43"/>
    <xf numFmtId="0" fontId="1" fillId="0" borderId="11" xfId="43" applyBorder="1"/>
    <xf numFmtId="0" fontId="1" fillId="0" borderId="10" xfId="43" applyBorder="1"/>
    <xf numFmtId="0" fontId="20" fillId="33" borderId="12" xfId="43" applyFont="1" applyFill="1" applyBorder="1"/>
    <xf numFmtId="0" fontId="20" fillId="33" borderId="10" xfId="43" applyFont="1" applyFill="1" applyBorder="1"/>
    <xf numFmtId="169" fontId="0" fillId="0" borderId="0" xfId="0" applyNumberFormat="1"/>
    <xf numFmtId="171" fontId="1" fillId="0" borderId="10" xfId="43" applyNumberFormat="1" applyBorder="1" applyAlignment="1">
      <alignment horizontal="left"/>
    </xf>
    <xf numFmtId="0" fontId="20" fillId="0" borderId="13" xfId="0" applyFont="1" applyFill="1" applyBorder="1"/>
    <xf numFmtId="0" fontId="0" fillId="0" borderId="13" xfId="0" applyFill="1" applyBorder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 xr:uid="{FCDC1CF2-F7C8-4AF1-A99E-8A345F7106C0}"/>
    <cellStyle name="Normal 3" xfId="43" xr:uid="{976AC5C6-AE22-4F99-B982-6C095E5AC771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4"/>
  <sheetViews>
    <sheetView workbookViewId="0">
      <selection activeCell="C19" sqref="C19"/>
    </sheetView>
  </sheetViews>
  <sheetFormatPr baseColWidth="10" defaultRowHeight="14.4" x14ac:dyDescent="0.3"/>
  <cols>
    <col min="1" max="1" width="10.5546875" bestFit="1" customWidth="1"/>
    <col min="2" max="2" width="6.5546875" bestFit="1" customWidth="1"/>
    <col min="3" max="3" width="56.21875" customWidth="1"/>
    <col min="4" max="4" width="24.109375" customWidth="1"/>
    <col min="5" max="6" width="21.88671875" customWidth="1"/>
    <col min="7" max="7" width="10.21875" bestFit="1" customWidth="1"/>
    <col min="8" max="8" width="12.44140625" customWidth="1"/>
    <col min="9" max="9" width="12" bestFit="1" customWidth="1"/>
  </cols>
  <sheetData>
    <row r="1" spans="1:9" x14ac:dyDescent="0.3">
      <c r="A1" s="3" t="s">
        <v>0</v>
      </c>
      <c r="B1" s="3" t="s">
        <v>64</v>
      </c>
      <c r="C1" s="3" t="s">
        <v>1</v>
      </c>
      <c r="D1" s="3" t="s">
        <v>82</v>
      </c>
      <c r="E1" s="3" t="s">
        <v>83</v>
      </c>
      <c r="F1" s="3" t="s">
        <v>65</v>
      </c>
      <c r="G1" s="3" t="s">
        <v>71</v>
      </c>
      <c r="H1" s="3" t="s">
        <v>92</v>
      </c>
      <c r="I1" s="3" t="s">
        <v>81</v>
      </c>
    </row>
    <row r="2" spans="1:9" x14ac:dyDescent="0.3">
      <c r="A2" s="2">
        <v>45840</v>
      </c>
      <c r="B2" s="1">
        <v>4578</v>
      </c>
      <c r="C2" s="1" t="s">
        <v>2</v>
      </c>
      <c r="D2" s="1" t="s">
        <v>84</v>
      </c>
      <c r="E2" s="1" t="s">
        <v>55</v>
      </c>
      <c r="F2" s="1" t="s">
        <v>66</v>
      </c>
      <c r="G2" s="1" t="s">
        <v>72</v>
      </c>
      <c r="H2" s="2">
        <f>A2+30</f>
        <v>45870</v>
      </c>
      <c r="I2" s="1">
        <v>2900</v>
      </c>
    </row>
    <row r="3" spans="1:9" x14ac:dyDescent="0.3">
      <c r="A3" s="2">
        <v>45839</v>
      </c>
      <c r="B3" s="1">
        <v>5686</v>
      </c>
      <c r="C3" s="1" t="s">
        <v>3</v>
      </c>
      <c r="D3" s="1" t="s">
        <v>84</v>
      </c>
      <c r="E3" s="1" t="s">
        <v>56</v>
      </c>
      <c r="F3" s="1" t="s">
        <v>67</v>
      </c>
      <c r="G3" s="1" t="s">
        <v>72</v>
      </c>
      <c r="H3" s="2">
        <f t="shared" ref="H3:H12" si="0">A3+30</f>
        <v>45869</v>
      </c>
      <c r="I3" s="1">
        <v>282</v>
      </c>
    </row>
    <row r="4" spans="1:9" x14ac:dyDescent="0.3">
      <c r="A4" s="2">
        <v>45838</v>
      </c>
      <c r="B4" s="1">
        <v>8878</v>
      </c>
      <c r="C4" s="1" t="s">
        <v>4</v>
      </c>
      <c r="D4" s="1" t="s">
        <v>57</v>
      </c>
      <c r="E4" s="1" t="s">
        <v>57</v>
      </c>
      <c r="F4" s="1" t="s">
        <v>68</v>
      </c>
      <c r="G4" s="1" t="s">
        <v>72</v>
      </c>
      <c r="H4" s="2">
        <f t="shared" si="0"/>
        <v>45868</v>
      </c>
      <c r="I4" s="1">
        <v>559</v>
      </c>
    </row>
    <row r="5" spans="1:9" x14ac:dyDescent="0.3">
      <c r="A5" s="2">
        <v>45837</v>
      </c>
      <c r="B5" s="1">
        <v>9887</v>
      </c>
      <c r="C5" s="1" t="s">
        <v>3</v>
      </c>
      <c r="D5" s="1" t="s">
        <v>85</v>
      </c>
      <c r="E5" s="1" t="s">
        <v>85</v>
      </c>
      <c r="F5" s="1" t="s">
        <v>69</v>
      </c>
      <c r="G5" s="1" t="s">
        <v>72</v>
      </c>
      <c r="H5" s="2">
        <f t="shared" si="0"/>
        <v>45867</v>
      </c>
      <c r="I5" s="1">
        <v>186</v>
      </c>
    </row>
    <row r="6" spans="1:9" x14ac:dyDescent="0.3">
      <c r="A6" s="2">
        <v>45836</v>
      </c>
      <c r="B6" s="1">
        <v>9877</v>
      </c>
      <c r="C6" s="1" t="s">
        <v>4</v>
      </c>
      <c r="D6" s="1" t="s">
        <v>58</v>
      </c>
      <c r="E6" s="1" t="s">
        <v>87</v>
      </c>
      <c r="F6" s="1" t="s">
        <v>70</v>
      </c>
      <c r="G6" s="1" t="s">
        <v>72</v>
      </c>
      <c r="H6" s="2">
        <f t="shared" si="0"/>
        <v>45866</v>
      </c>
      <c r="I6" s="4">
        <v>1017</v>
      </c>
    </row>
    <row r="7" spans="1:9" x14ac:dyDescent="0.3">
      <c r="A7" s="2">
        <v>45840</v>
      </c>
      <c r="B7" s="1">
        <v>1234</v>
      </c>
      <c r="C7" s="1" t="s">
        <v>4</v>
      </c>
      <c r="D7" s="1" t="s">
        <v>84</v>
      </c>
      <c r="E7" s="1" t="s">
        <v>86</v>
      </c>
      <c r="F7" s="1" t="s">
        <v>66</v>
      </c>
      <c r="G7" s="1" t="s">
        <v>72</v>
      </c>
      <c r="H7" s="2">
        <f t="shared" si="0"/>
        <v>45870</v>
      </c>
      <c r="I7" s="1">
        <v>1351</v>
      </c>
    </row>
    <row r="8" spans="1:9" x14ac:dyDescent="0.3">
      <c r="A8" s="2">
        <v>45839</v>
      </c>
      <c r="B8" s="1">
        <v>2345</v>
      </c>
      <c r="C8" s="1" t="s">
        <v>5</v>
      </c>
      <c r="D8" s="1" t="s">
        <v>84</v>
      </c>
      <c r="E8" s="1" t="s">
        <v>59</v>
      </c>
      <c r="F8" s="1" t="s">
        <v>67</v>
      </c>
      <c r="G8" s="1" t="s">
        <v>72</v>
      </c>
      <c r="H8" s="2">
        <f t="shared" si="0"/>
        <v>45869</v>
      </c>
      <c r="I8" s="1">
        <v>1181</v>
      </c>
    </row>
    <row r="9" spans="1:9" x14ac:dyDescent="0.3">
      <c r="A9" s="2">
        <v>45838</v>
      </c>
      <c r="B9" s="1">
        <v>3456</v>
      </c>
      <c r="C9" s="1" t="s">
        <v>4</v>
      </c>
      <c r="D9" s="1" t="s">
        <v>84</v>
      </c>
      <c r="E9" s="1" t="s">
        <v>60</v>
      </c>
      <c r="F9" s="1" t="s">
        <v>68</v>
      </c>
      <c r="G9" s="1" t="s">
        <v>72</v>
      </c>
      <c r="H9" s="2">
        <f t="shared" si="0"/>
        <v>45868</v>
      </c>
      <c r="I9" s="1">
        <v>560</v>
      </c>
    </row>
    <row r="10" spans="1:9" x14ac:dyDescent="0.3">
      <c r="A10" s="2">
        <v>45837</v>
      </c>
      <c r="B10" s="1">
        <v>4567</v>
      </c>
      <c r="C10" s="1" t="s">
        <v>4</v>
      </c>
      <c r="D10" s="1" t="s">
        <v>84</v>
      </c>
      <c r="E10" s="1" t="s">
        <v>61</v>
      </c>
      <c r="F10" s="1" t="s">
        <v>69</v>
      </c>
      <c r="G10" s="1" t="s">
        <v>72</v>
      </c>
      <c r="H10" s="2">
        <f t="shared" si="0"/>
        <v>45867</v>
      </c>
      <c r="I10" s="1">
        <v>8400</v>
      </c>
    </row>
    <row r="11" spans="1:9" x14ac:dyDescent="0.3">
      <c r="A11" s="2">
        <v>45836</v>
      </c>
      <c r="B11" s="1">
        <v>5678</v>
      </c>
      <c r="C11" s="1" t="s">
        <v>4</v>
      </c>
      <c r="D11" s="1" t="s">
        <v>84</v>
      </c>
      <c r="E11" s="1" t="s">
        <v>62</v>
      </c>
      <c r="F11" s="1" t="s">
        <v>70</v>
      </c>
      <c r="G11" s="1" t="s">
        <v>72</v>
      </c>
      <c r="H11" s="2">
        <f t="shared" si="0"/>
        <v>45866</v>
      </c>
      <c r="I11" s="1">
        <v>2486</v>
      </c>
    </row>
    <row r="12" spans="1:9" x14ac:dyDescent="0.3">
      <c r="A12" s="2">
        <v>45840</v>
      </c>
      <c r="B12" s="1">
        <v>6789</v>
      </c>
      <c r="C12" s="1" t="s">
        <v>6</v>
      </c>
      <c r="D12" s="1" t="s">
        <v>84</v>
      </c>
      <c r="E12" s="1" t="s">
        <v>63</v>
      </c>
      <c r="F12" s="1" t="s">
        <v>66</v>
      </c>
      <c r="G12" s="1" t="s">
        <v>72</v>
      </c>
      <c r="H12" s="2">
        <f t="shared" si="0"/>
        <v>45870</v>
      </c>
      <c r="I12" s="1">
        <v>1610</v>
      </c>
    </row>
    <row r="13" spans="1:9" x14ac:dyDescent="0.3">
      <c r="A13" s="2">
        <v>45839</v>
      </c>
      <c r="B13" s="1">
        <v>7890</v>
      </c>
      <c r="C13" s="1" t="s">
        <v>4</v>
      </c>
      <c r="D13" s="1" t="s">
        <v>84</v>
      </c>
      <c r="E13" s="1" t="s">
        <v>86</v>
      </c>
      <c r="F13" s="1" t="s">
        <v>67</v>
      </c>
      <c r="G13" s="1" t="s">
        <v>72</v>
      </c>
      <c r="H13" s="2">
        <f>A13+90</f>
        <v>45929</v>
      </c>
      <c r="I13" s="1">
        <v>5250</v>
      </c>
    </row>
    <row r="14" spans="1:9" x14ac:dyDescent="0.3">
      <c r="A14" s="2">
        <v>45838</v>
      </c>
      <c r="B14" s="1">
        <v>8901</v>
      </c>
      <c r="C14" s="1" t="s">
        <v>4</v>
      </c>
      <c r="D14" s="1" t="s">
        <v>85</v>
      </c>
      <c r="E14" s="1" t="s">
        <v>85</v>
      </c>
      <c r="F14" s="1" t="s">
        <v>68</v>
      </c>
      <c r="G14" s="1" t="s">
        <v>72</v>
      </c>
      <c r="H14" s="2">
        <f t="shared" ref="H14:H26" si="1">A14+90</f>
        <v>45928</v>
      </c>
      <c r="I14" s="1">
        <v>339</v>
      </c>
    </row>
    <row r="15" spans="1:9" x14ac:dyDescent="0.3">
      <c r="A15" s="2">
        <v>45837</v>
      </c>
      <c r="B15" s="1">
        <v>9012</v>
      </c>
      <c r="C15" s="1" t="s">
        <v>7</v>
      </c>
      <c r="D15" s="1" t="s">
        <v>84</v>
      </c>
      <c r="E15" s="1" t="s">
        <v>55</v>
      </c>
      <c r="F15" s="1" t="s">
        <v>69</v>
      </c>
      <c r="G15" s="1" t="s">
        <v>72</v>
      </c>
      <c r="H15" s="2">
        <f t="shared" si="1"/>
        <v>45927</v>
      </c>
      <c r="I15" s="1">
        <v>2906</v>
      </c>
    </row>
    <row r="16" spans="1:9" x14ac:dyDescent="0.3">
      <c r="A16" s="2">
        <v>45836</v>
      </c>
      <c r="B16" s="1">
        <v>1023</v>
      </c>
      <c r="C16" s="1" t="s">
        <v>8</v>
      </c>
      <c r="D16" s="1" t="s">
        <v>84</v>
      </c>
      <c r="E16" s="1" t="s">
        <v>56</v>
      </c>
      <c r="F16" s="1" t="s">
        <v>70</v>
      </c>
      <c r="G16" s="1" t="s">
        <v>72</v>
      </c>
      <c r="H16" s="2">
        <f t="shared" si="1"/>
        <v>45926</v>
      </c>
      <c r="I16" s="1">
        <v>200</v>
      </c>
    </row>
    <row r="17" spans="1:9" x14ac:dyDescent="0.3">
      <c r="A17" s="2">
        <v>45625</v>
      </c>
      <c r="B17" s="1">
        <v>2134</v>
      </c>
      <c r="C17" s="1" t="s">
        <v>107</v>
      </c>
      <c r="D17" s="1" t="s">
        <v>57</v>
      </c>
      <c r="E17" s="1" t="s">
        <v>57</v>
      </c>
      <c r="F17" s="1" t="s">
        <v>66</v>
      </c>
      <c r="G17" s="1" t="s">
        <v>72</v>
      </c>
      <c r="H17" s="2">
        <f t="shared" si="1"/>
        <v>45715</v>
      </c>
      <c r="I17" s="1">
        <v>1000</v>
      </c>
    </row>
    <row r="18" spans="1:9" x14ac:dyDescent="0.3">
      <c r="A18" s="2">
        <v>45624</v>
      </c>
      <c r="B18" s="1">
        <v>3245</v>
      </c>
      <c r="C18" s="1" t="s">
        <v>107</v>
      </c>
      <c r="D18" s="1" t="s">
        <v>85</v>
      </c>
      <c r="E18" s="1" t="s">
        <v>85</v>
      </c>
      <c r="F18" s="1" t="s">
        <v>67</v>
      </c>
      <c r="G18" s="1" t="s">
        <v>72</v>
      </c>
      <c r="H18" s="2">
        <f t="shared" si="1"/>
        <v>45714</v>
      </c>
      <c r="I18" s="1">
        <v>180</v>
      </c>
    </row>
    <row r="19" spans="1:9" x14ac:dyDescent="0.3">
      <c r="A19" s="2">
        <v>45623</v>
      </c>
      <c r="B19" s="1">
        <v>4356</v>
      </c>
      <c r="C19" s="1" t="s">
        <v>107</v>
      </c>
      <c r="D19" s="1" t="s">
        <v>58</v>
      </c>
      <c r="E19" s="1" t="s">
        <v>88</v>
      </c>
      <c r="F19" s="1" t="s">
        <v>68</v>
      </c>
      <c r="G19" s="1" t="s">
        <v>72</v>
      </c>
      <c r="H19" s="2">
        <f t="shared" si="1"/>
        <v>45713</v>
      </c>
      <c r="I19" s="4">
        <v>3400</v>
      </c>
    </row>
    <row r="20" spans="1:9" x14ac:dyDescent="0.3">
      <c r="A20" s="2">
        <v>45622</v>
      </c>
      <c r="B20" s="1">
        <v>5467</v>
      </c>
      <c r="C20" s="1" t="s">
        <v>9</v>
      </c>
      <c r="D20" s="1" t="s">
        <v>84</v>
      </c>
      <c r="E20" s="1" t="s">
        <v>86</v>
      </c>
      <c r="F20" s="1" t="s">
        <v>69</v>
      </c>
      <c r="G20" s="1" t="s">
        <v>72</v>
      </c>
      <c r="H20" s="2">
        <f t="shared" si="1"/>
        <v>45712</v>
      </c>
      <c r="I20" s="1">
        <v>3390</v>
      </c>
    </row>
    <row r="21" spans="1:9" x14ac:dyDescent="0.3">
      <c r="A21" s="2">
        <v>45621</v>
      </c>
      <c r="B21" s="1">
        <v>6578</v>
      </c>
      <c r="C21" s="1" t="s">
        <v>10</v>
      </c>
      <c r="D21" s="1" t="s">
        <v>84</v>
      </c>
      <c r="E21" s="1" t="s">
        <v>59</v>
      </c>
      <c r="F21" s="1" t="s">
        <v>70</v>
      </c>
      <c r="G21" s="1" t="s">
        <v>72</v>
      </c>
      <c r="H21" s="2">
        <f t="shared" si="1"/>
        <v>45711</v>
      </c>
      <c r="I21" s="1">
        <v>1695</v>
      </c>
    </row>
    <row r="22" spans="1:9" x14ac:dyDescent="0.3">
      <c r="A22" s="2">
        <v>45625</v>
      </c>
      <c r="B22" s="1">
        <v>7689</v>
      </c>
      <c r="C22" s="1" t="s">
        <v>11</v>
      </c>
      <c r="D22" s="1" t="s">
        <v>84</v>
      </c>
      <c r="E22" s="1" t="s">
        <v>60</v>
      </c>
      <c r="F22" s="1" t="s">
        <v>66</v>
      </c>
      <c r="G22" s="1" t="s">
        <v>72</v>
      </c>
      <c r="H22" s="2">
        <f t="shared" si="1"/>
        <v>45715</v>
      </c>
      <c r="I22" s="1">
        <v>700</v>
      </c>
    </row>
    <row r="23" spans="1:9" x14ac:dyDescent="0.3">
      <c r="A23" s="2">
        <v>45624</v>
      </c>
      <c r="B23" s="1">
        <v>8790</v>
      </c>
      <c r="C23" s="1" t="s">
        <v>107</v>
      </c>
      <c r="D23" s="1" t="s">
        <v>84</v>
      </c>
      <c r="E23" s="1" t="s">
        <v>61</v>
      </c>
      <c r="F23" s="1" t="s">
        <v>67</v>
      </c>
      <c r="G23" s="1" t="s">
        <v>72</v>
      </c>
      <c r="H23" s="2">
        <f t="shared" si="1"/>
        <v>45714</v>
      </c>
      <c r="I23" s="1">
        <v>5000</v>
      </c>
    </row>
    <row r="24" spans="1:9" x14ac:dyDescent="0.3">
      <c r="A24" s="2">
        <v>45623</v>
      </c>
      <c r="B24" s="1">
        <v>9801</v>
      </c>
      <c r="C24" s="1" t="s">
        <v>107</v>
      </c>
      <c r="D24" s="1" t="s">
        <v>84</v>
      </c>
      <c r="E24" s="1" t="s">
        <v>62</v>
      </c>
      <c r="F24" s="1" t="s">
        <v>68</v>
      </c>
      <c r="G24" s="1" t="s">
        <v>72</v>
      </c>
      <c r="H24" s="2">
        <f t="shared" si="1"/>
        <v>45713</v>
      </c>
      <c r="I24" s="1">
        <v>2260</v>
      </c>
    </row>
    <row r="25" spans="1:9" x14ac:dyDescent="0.3">
      <c r="A25" s="2">
        <v>45622</v>
      </c>
      <c r="B25" s="1">
        <v>1092</v>
      </c>
      <c r="C25" s="1" t="s">
        <v>107</v>
      </c>
      <c r="D25" s="1" t="s">
        <v>84</v>
      </c>
      <c r="E25" s="1" t="s">
        <v>63</v>
      </c>
      <c r="F25" s="1" t="s">
        <v>69</v>
      </c>
      <c r="G25" s="1" t="s">
        <v>72</v>
      </c>
      <c r="H25" s="2">
        <f t="shared" si="1"/>
        <v>45712</v>
      </c>
      <c r="I25" s="1">
        <v>2260</v>
      </c>
    </row>
    <row r="26" spans="1:9" x14ac:dyDescent="0.3">
      <c r="A26" s="2">
        <v>45621</v>
      </c>
      <c r="B26" s="1">
        <v>2103</v>
      </c>
      <c r="C26" s="1" t="s">
        <v>107</v>
      </c>
      <c r="D26" s="1" t="s">
        <v>84</v>
      </c>
      <c r="E26" s="1" t="s">
        <v>86</v>
      </c>
      <c r="F26" s="1" t="s">
        <v>70</v>
      </c>
      <c r="G26" s="1" t="s">
        <v>72</v>
      </c>
      <c r="H26" s="2">
        <f t="shared" si="1"/>
        <v>45711</v>
      </c>
      <c r="I26" s="1">
        <v>3390</v>
      </c>
    </row>
    <row r="27" spans="1:9" x14ac:dyDescent="0.3">
      <c r="A27" s="2">
        <v>45625</v>
      </c>
      <c r="B27" s="1">
        <v>3214</v>
      </c>
      <c r="C27" s="1" t="s">
        <v>114</v>
      </c>
      <c r="D27" s="1" t="s">
        <v>85</v>
      </c>
      <c r="E27" s="1" t="s">
        <v>85</v>
      </c>
      <c r="F27" s="1" t="s">
        <v>66</v>
      </c>
      <c r="G27" s="1" t="s">
        <v>72</v>
      </c>
      <c r="H27" s="2">
        <f>A27+60</f>
        <v>45685</v>
      </c>
      <c r="I27" s="1">
        <v>230</v>
      </c>
    </row>
    <row r="28" spans="1:9" x14ac:dyDescent="0.3">
      <c r="A28" s="2">
        <v>45624</v>
      </c>
      <c r="B28" s="1">
        <v>4325</v>
      </c>
      <c r="C28" s="1" t="s">
        <v>107</v>
      </c>
      <c r="D28" s="1" t="s">
        <v>84</v>
      </c>
      <c r="E28" s="1" t="s">
        <v>55</v>
      </c>
      <c r="F28" s="1" t="s">
        <v>67</v>
      </c>
      <c r="G28" s="1" t="s">
        <v>72</v>
      </c>
      <c r="H28" s="2">
        <f t="shared" ref="H28:H81" si="2">A28+60</f>
        <v>45684</v>
      </c>
      <c r="I28" s="1">
        <v>508</v>
      </c>
    </row>
    <row r="29" spans="1:9" x14ac:dyDescent="0.3">
      <c r="A29" s="2">
        <v>45623</v>
      </c>
      <c r="B29" s="1">
        <v>5436</v>
      </c>
      <c r="C29" s="1" t="s">
        <v>4</v>
      </c>
      <c r="D29" s="1" t="s">
        <v>84</v>
      </c>
      <c r="E29" s="1" t="s">
        <v>56</v>
      </c>
      <c r="F29" s="1" t="s">
        <v>68</v>
      </c>
      <c r="G29" s="1" t="s">
        <v>72</v>
      </c>
      <c r="H29" s="2">
        <f t="shared" si="2"/>
        <v>45683</v>
      </c>
      <c r="I29" s="1">
        <v>355</v>
      </c>
    </row>
    <row r="30" spans="1:9" x14ac:dyDescent="0.3">
      <c r="A30" s="2">
        <v>45622</v>
      </c>
      <c r="B30" s="1">
        <v>6547</v>
      </c>
      <c r="C30" s="1" t="s">
        <v>10</v>
      </c>
      <c r="D30" s="1" t="s">
        <v>57</v>
      </c>
      <c r="E30" s="1" t="s">
        <v>57</v>
      </c>
      <c r="F30" s="1" t="s">
        <v>69</v>
      </c>
      <c r="G30" s="1" t="s">
        <v>72</v>
      </c>
      <c r="H30" s="2">
        <f t="shared" si="2"/>
        <v>45682</v>
      </c>
      <c r="I30" s="1">
        <v>1158</v>
      </c>
    </row>
    <row r="31" spans="1:9" x14ac:dyDescent="0.3">
      <c r="A31" s="2">
        <v>45621</v>
      </c>
      <c r="B31" s="1">
        <v>7658</v>
      </c>
      <c r="C31" s="1" t="s">
        <v>12</v>
      </c>
      <c r="D31" s="1" t="s">
        <v>85</v>
      </c>
      <c r="E31" s="1" t="s">
        <v>85</v>
      </c>
      <c r="F31" s="1" t="s">
        <v>70</v>
      </c>
      <c r="G31" s="1" t="s">
        <v>72</v>
      </c>
      <c r="H31" s="2">
        <f t="shared" si="2"/>
        <v>45681</v>
      </c>
      <c r="I31" s="1">
        <v>1073</v>
      </c>
    </row>
    <row r="32" spans="1:9" x14ac:dyDescent="0.3">
      <c r="A32" s="2">
        <v>45840</v>
      </c>
      <c r="B32" s="1">
        <v>8769</v>
      </c>
      <c r="C32" s="1" t="s">
        <v>2</v>
      </c>
      <c r="D32" s="1" t="s">
        <v>58</v>
      </c>
      <c r="E32" s="1" t="s">
        <v>87</v>
      </c>
      <c r="F32" s="1" t="s">
        <v>66</v>
      </c>
      <c r="G32" s="1" t="s">
        <v>72</v>
      </c>
      <c r="H32" s="2">
        <f t="shared" si="2"/>
        <v>45900</v>
      </c>
      <c r="I32" s="4">
        <v>5100</v>
      </c>
    </row>
    <row r="33" spans="1:9" x14ac:dyDescent="0.3">
      <c r="A33" s="2">
        <v>45839</v>
      </c>
      <c r="B33" s="1">
        <v>9870</v>
      </c>
      <c r="C33" s="1" t="s">
        <v>4</v>
      </c>
      <c r="D33" s="1" t="s">
        <v>84</v>
      </c>
      <c r="E33" s="1" t="s">
        <v>86</v>
      </c>
      <c r="F33" s="1" t="s">
        <v>67</v>
      </c>
      <c r="G33" s="1" t="s">
        <v>72</v>
      </c>
      <c r="H33" s="2">
        <f t="shared" si="2"/>
        <v>45899</v>
      </c>
      <c r="I33" s="1">
        <v>5900</v>
      </c>
    </row>
    <row r="34" spans="1:9" x14ac:dyDescent="0.3">
      <c r="A34" s="2">
        <v>45837</v>
      </c>
      <c r="B34" s="1">
        <v>2098</v>
      </c>
      <c r="C34" s="1" t="s">
        <v>13</v>
      </c>
      <c r="D34" s="1" t="s">
        <v>84</v>
      </c>
      <c r="E34" s="1" t="s">
        <v>60</v>
      </c>
      <c r="F34" s="1" t="s">
        <v>69</v>
      </c>
      <c r="G34" s="1" t="s">
        <v>72</v>
      </c>
      <c r="H34" s="2">
        <f t="shared" si="2"/>
        <v>45897</v>
      </c>
      <c r="I34" s="1">
        <v>814</v>
      </c>
    </row>
    <row r="35" spans="1:9" x14ac:dyDescent="0.3">
      <c r="A35" s="2">
        <v>45836</v>
      </c>
      <c r="B35" s="1">
        <v>3109</v>
      </c>
      <c r="C35" s="1" t="s">
        <v>14</v>
      </c>
      <c r="D35" s="1" t="s">
        <v>84</v>
      </c>
      <c r="E35" s="1" t="s">
        <v>61</v>
      </c>
      <c r="F35" s="1" t="s">
        <v>70</v>
      </c>
      <c r="G35" s="1" t="s">
        <v>72</v>
      </c>
      <c r="H35" s="2">
        <f t="shared" si="2"/>
        <v>45896</v>
      </c>
      <c r="I35" s="1">
        <v>3920</v>
      </c>
    </row>
    <row r="36" spans="1:9" x14ac:dyDescent="0.3">
      <c r="A36" s="2">
        <v>45840</v>
      </c>
      <c r="B36" s="1">
        <v>4210</v>
      </c>
      <c r="C36" s="1" t="s">
        <v>4</v>
      </c>
      <c r="D36" s="1" t="s">
        <v>84</v>
      </c>
      <c r="E36" s="1" t="s">
        <v>62</v>
      </c>
      <c r="F36" s="1" t="s">
        <v>66</v>
      </c>
      <c r="G36" s="1" t="s">
        <v>72</v>
      </c>
      <c r="H36" s="2">
        <f t="shared" si="2"/>
        <v>45900</v>
      </c>
      <c r="I36" s="1">
        <v>1053</v>
      </c>
    </row>
    <row r="37" spans="1:9" x14ac:dyDescent="0.3">
      <c r="A37" s="2">
        <v>45839</v>
      </c>
      <c r="B37" s="1">
        <v>5321</v>
      </c>
      <c r="C37" s="1" t="s">
        <v>15</v>
      </c>
      <c r="D37" s="1" t="s">
        <v>84</v>
      </c>
      <c r="E37" s="1" t="s">
        <v>63</v>
      </c>
      <c r="F37" s="1" t="s">
        <v>67</v>
      </c>
      <c r="G37" s="1" t="s">
        <v>72</v>
      </c>
      <c r="H37" s="2">
        <f t="shared" si="2"/>
        <v>45899</v>
      </c>
      <c r="I37" s="1">
        <v>530</v>
      </c>
    </row>
    <row r="38" spans="1:9" x14ac:dyDescent="0.3">
      <c r="A38" s="2">
        <v>45838</v>
      </c>
      <c r="B38" s="1">
        <v>6432</v>
      </c>
      <c r="C38" s="1" t="s">
        <v>10</v>
      </c>
      <c r="D38" s="1" t="s">
        <v>84</v>
      </c>
      <c r="E38" s="1" t="s">
        <v>86</v>
      </c>
      <c r="F38" s="1" t="s">
        <v>68</v>
      </c>
      <c r="G38" s="1" t="s">
        <v>72</v>
      </c>
      <c r="H38" s="2">
        <f t="shared" si="2"/>
        <v>45898</v>
      </c>
      <c r="I38" s="1">
        <v>2700</v>
      </c>
    </row>
    <row r="39" spans="1:9" x14ac:dyDescent="0.3">
      <c r="A39" s="2">
        <v>45837</v>
      </c>
      <c r="B39" s="1">
        <v>7543</v>
      </c>
      <c r="C39" s="1" t="s">
        <v>16</v>
      </c>
      <c r="D39" s="1" t="s">
        <v>85</v>
      </c>
      <c r="E39" s="1" t="s">
        <v>85</v>
      </c>
      <c r="F39" s="1" t="s">
        <v>69</v>
      </c>
      <c r="G39" s="1" t="s">
        <v>72</v>
      </c>
      <c r="H39" s="2">
        <f t="shared" si="2"/>
        <v>45897</v>
      </c>
      <c r="I39" s="1">
        <v>4620</v>
      </c>
    </row>
    <row r="40" spans="1:9" x14ac:dyDescent="0.3">
      <c r="A40" s="2">
        <v>45836</v>
      </c>
      <c r="B40" s="1">
        <v>8654</v>
      </c>
      <c r="C40" s="1" t="s">
        <v>4</v>
      </c>
      <c r="D40" s="1" t="s">
        <v>84</v>
      </c>
      <c r="E40" s="1" t="s">
        <v>55</v>
      </c>
      <c r="F40" s="1" t="s">
        <v>70</v>
      </c>
      <c r="G40" s="1" t="s">
        <v>72</v>
      </c>
      <c r="H40" s="2">
        <f t="shared" si="2"/>
        <v>45896</v>
      </c>
      <c r="I40" s="1">
        <v>2938</v>
      </c>
    </row>
    <row r="41" spans="1:9" x14ac:dyDescent="0.3">
      <c r="A41" s="2">
        <v>45838</v>
      </c>
      <c r="B41" s="1">
        <v>2987</v>
      </c>
      <c r="C41" s="1" t="s">
        <v>2</v>
      </c>
      <c r="D41" s="1" t="s">
        <v>85</v>
      </c>
      <c r="E41" s="1" t="s">
        <v>85</v>
      </c>
      <c r="F41" s="1" t="s">
        <v>68</v>
      </c>
      <c r="G41" s="1" t="s">
        <v>72</v>
      </c>
      <c r="H41" s="2">
        <f t="shared" si="2"/>
        <v>45898</v>
      </c>
      <c r="I41" s="1">
        <v>474</v>
      </c>
    </row>
    <row r="42" spans="1:9" x14ac:dyDescent="0.3">
      <c r="A42" s="2">
        <v>45837</v>
      </c>
      <c r="B42" s="1">
        <v>3098</v>
      </c>
      <c r="C42" s="1" t="s">
        <v>17</v>
      </c>
      <c r="D42" s="1" t="s">
        <v>58</v>
      </c>
      <c r="E42" s="1" t="s">
        <v>91</v>
      </c>
      <c r="F42" s="1" t="s">
        <v>69</v>
      </c>
      <c r="G42" s="1" t="s">
        <v>72</v>
      </c>
      <c r="H42" s="2">
        <f>A42+30</f>
        <v>45867</v>
      </c>
      <c r="I42" s="4">
        <v>18000</v>
      </c>
    </row>
    <row r="43" spans="1:9" x14ac:dyDescent="0.3">
      <c r="A43" s="2">
        <v>45836</v>
      </c>
      <c r="B43" s="1">
        <v>4109</v>
      </c>
      <c r="C43" s="1" t="s">
        <v>18</v>
      </c>
      <c r="D43" s="1" t="s">
        <v>84</v>
      </c>
      <c r="E43" s="1" t="s">
        <v>86</v>
      </c>
      <c r="F43" s="1" t="s">
        <v>70</v>
      </c>
      <c r="G43" s="1" t="s">
        <v>72</v>
      </c>
      <c r="H43" s="2">
        <f t="shared" ref="H43:H54" si="3">A43+30</f>
        <v>45866</v>
      </c>
      <c r="I43" s="1">
        <v>1240</v>
      </c>
    </row>
    <row r="44" spans="1:9" x14ac:dyDescent="0.3">
      <c r="A44" s="2">
        <v>45840</v>
      </c>
      <c r="B44" s="1">
        <v>5210</v>
      </c>
      <c r="C44" s="1" t="s">
        <v>3</v>
      </c>
      <c r="D44" s="1" t="s">
        <v>84</v>
      </c>
      <c r="E44" s="1" t="s">
        <v>59</v>
      </c>
      <c r="F44" s="1" t="s">
        <v>66</v>
      </c>
      <c r="G44" s="1" t="s">
        <v>72</v>
      </c>
      <c r="H44" s="2">
        <f t="shared" si="3"/>
        <v>45870</v>
      </c>
      <c r="I44" s="1">
        <v>3390</v>
      </c>
    </row>
    <row r="45" spans="1:9" x14ac:dyDescent="0.3">
      <c r="A45" s="2">
        <v>45839</v>
      </c>
      <c r="B45" s="1">
        <v>6321</v>
      </c>
      <c r="C45" s="1" t="s">
        <v>10</v>
      </c>
      <c r="D45" s="1" t="s">
        <v>84</v>
      </c>
      <c r="E45" s="1" t="s">
        <v>60</v>
      </c>
      <c r="F45" s="1" t="s">
        <v>67</v>
      </c>
      <c r="G45" s="1" t="s">
        <v>72</v>
      </c>
      <c r="H45" s="2">
        <f t="shared" si="3"/>
        <v>45869</v>
      </c>
      <c r="I45" s="1">
        <v>650</v>
      </c>
    </row>
    <row r="46" spans="1:9" x14ac:dyDescent="0.3">
      <c r="A46" s="2">
        <v>45838</v>
      </c>
      <c r="B46" s="1">
        <v>7432</v>
      </c>
      <c r="C46" s="1" t="s">
        <v>11</v>
      </c>
      <c r="D46" s="1" t="s">
        <v>84</v>
      </c>
      <c r="E46" s="1" t="s">
        <v>61</v>
      </c>
      <c r="F46" s="1" t="s">
        <v>68</v>
      </c>
      <c r="G46" s="1" t="s">
        <v>72</v>
      </c>
      <c r="H46" s="2">
        <f t="shared" si="3"/>
        <v>45868</v>
      </c>
      <c r="I46" s="1">
        <v>8900</v>
      </c>
    </row>
    <row r="47" spans="1:9" x14ac:dyDescent="0.3">
      <c r="A47" s="2">
        <v>45837</v>
      </c>
      <c r="B47" s="1">
        <v>8543</v>
      </c>
      <c r="C47" s="1" t="s">
        <v>4</v>
      </c>
      <c r="D47" s="1" t="s">
        <v>84</v>
      </c>
      <c r="E47" s="1" t="s">
        <v>62</v>
      </c>
      <c r="F47" s="1" t="s">
        <v>69</v>
      </c>
      <c r="G47" s="1" t="s">
        <v>72</v>
      </c>
      <c r="H47" s="2">
        <f t="shared" si="3"/>
        <v>45867</v>
      </c>
      <c r="I47" s="1">
        <v>2100</v>
      </c>
    </row>
    <row r="48" spans="1:9" x14ac:dyDescent="0.3">
      <c r="A48" s="2">
        <v>45836</v>
      </c>
      <c r="B48" s="1">
        <v>9654</v>
      </c>
      <c r="C48" s="1" t="s">
        <v>2</v>
      </c>
      <c r="D48" s="1" t="s">
        <v>84</v>
      </c>
      <c r="E48" s="1" t="s">
        <v>63</v>
      </c>
      <c r="F48" s="1" t="s">
        <v>70</v>
      </c>
      <c r="G48" s="1" t="s">
        <v>72</v>
      </c>
      <c r="H48" s="2">
        <f t="shared" si="3"/>
        <v>45866</v>
      </c>
      <c r="I48" s="1">
        <v>3300</v>
      </c>
    </row>
    <row r="49" spans="1:9" x14ac:dyDescent="0.3">
      <c r="A49" s="2">
        <v>45839</v>
      </c>
      <c r="B49" s="1">
        <v>2876</v>
      </c>
      <c r="C49" s="1" t="s">
        <v>19</v>
      </c>
      <c r="D49" s="1" t="s">
        <v>85</v>
      </c>
      <c r="E49" s="1" t="s">
        <v>85</v>
      </c>
      <c r="F49" s="1" t="s">
        <v>67</v>
      </c>
      <c r="G49" s="1" t="s">
        <v>72</v>
      </c>
      <c r="H49" s="2">
        <f t="shared" si="3"/>
        <v>45869</v>
      </c>
      <c r="I49" s="1">
        <v>430</v>
      </c>
    </row>
    <row r="50" spans="1:9" x14ac:dyDescent="0.3">
      <c r="A50" s="2">
        <v>45838</v>
      </c>
      <c r="B50" s="1">
        <v>3987</v>
      </c>
      <c r="C50" s="1" t="s">
        <v>19</v>
      </c>
      <c r="D50" s="1" t="s">
        <v>84</v>
      </c>
      <c r="E50" s="1" t="s">
        <v>55</v>
      </c>
      <c r="F50" s="1" t="s">
        <v>68</v>
      </c>
      <c r="G50" s="1" t="s">
        <v>72</v>
      </c>
      <c r="H50" s="2">
        <f t="shared" si="3"/>
        <v>45868</v>
      </c>
      <c r="I50" s="1">
        <v>4200</v>
      </c>
    </row>
    <row r="51" spans="1:9" x14ac:dyDescent="0.3">
      <c r="A51" s="2">
        <v>45837</v>
      </c>
      <c r="B51" s="1">
        <v>4098</v>
      </c>
      <c r="C51" s="1" t="s">
        <v>20</v>
      </c>
      <c r="D51" s="1" t="s">
        <v>84</v>
      </c>
      <c r="E51" s="1" t="s">
        <v>56</v>
      </c>
      <c r="F51" s="1" t="s">
        <v>69</v>
      </c>
      <c r="G51" s="1" t="s">
        <v>72</v>
      </c>
      <c r="H51" s="2">
        <f t="shared" si="3"/>
        <v>45867</v>
      </c>
      <c r="I51" s="1">
        <v>620</v>
      </c>
    </row>
    <row r="52" spans="1:9" x14ac:dyDescent="0.3">
      <c r="A52" s="2">
        <v>45836</v>
      </c>
      <c r="B52" s="1">
        <v>5109</v>
      </c>
      <c r="C52" s="1" t="s">
        <v>21</v>
      </c>
      <c r="D52" s="1" t="s">
        <v>57</v>
      </c>
      <c r="E52" s="1" t="s">
        <v>57</v>
      </c>
      <c r="F52" s="1" t="s">
        <v>70</v>
      </c>
      <c r="G52" s="1" t="s">
        <v>72</v>
      </c>
      <c r="H52" s="2">
        <f t="shared" si="3"/>
        <v>45866</v>
      </c>
      <c r="I52" s="1">
        <v>330</v>
      </c>
    </row>
    <row r="53" spans="1:9" x14ac:dyDescent="0.3">
      <c r="A53" s="2">
        <v>45839</v>
      </c>
      <c r="B53" s="1">
        <v>7321</v>
      </c>
      <c r="C53" s="1" t="s">
        <v>17</v>
      </c>
      <c r="D53" s="1" t="s">
        <v>58</v>
      </c>
      <c r="E53" s="1" t="s">
        <v>89</v>
      </c>
      <c r="F53" s="1" t="s">
        <v>68</v>
      </c>
      <c r="G53" s="1" t="s">
        <v>72</v>
      </c>
      <c r="H53" s="2">
        <f t="shared" si="3"/>
        <v>45869</v>
      </c>
      <c r="I53" s="4">
        <v>4700</v>
      </c>
    </row>
    <row r="54" spans="1:9" x14ac:dyDescent="0.3">
      <c r="A54" s="2">
        <v>45838</v>
      </c>
      <c r="B54" s="1">
        <v>8432</v>
      </c>
      <c r="C54" s="1" t="s">
        <v>22</v>
      </c>
      <c r="D54" s="1" t="s">
        <v>84</v>
      </c>
      <c r="E54" s="1" t="s">
        <v>86</v>
      </c>
      <c r="F54" s="1" t="s">
        <v>69</v>
      </c>
      <c r="G54" s="1" t="s">
        <v>72</v>
      </c>
      <c r="H54" s="2">
        <f t="shared" si="3"/>
        <v>45868</v>
      </c>
      <c r="I54" s="1">
        <v>1340</v>
      </c>
    </row>
    <row r="55" spans="1:9" x14ac:dyDescent="0.3">
      <c r="A55" s="2">
        <v>45837</v>
      </c>
      <c r="B55" s="1">
        <v>9543</v>
      </c>
      <c r="C55" s="1" t="s">
        <v>23</v>
      </c>
      <c r="D55" s="1" t="s">
        <v>84</v>
      </c>
      <c r="E55" s="1" t="s">
        <v>59</v>
      </c>
      <c r="F55" s="1" t="s">
        <v>70</v>
      </c>
      <c r="G55" s="1" t="s">
        <v>72</v>
      </c>
      <c r="H55" s="2">
        <f>A55+120</f>
        <v>45957</v>
      </c>
      <c r="I55" s="1">
        <v>1990</v>
      </c>
    </row>
    <row r="56" spans="1:9" x14ac:dyDescent="0.3">
      <c r="A56" s="2">
        <v>45836</v>
      </c>
      <c r="B56" s="1">
        <v>1654</v>
      </c>
      <c r="C56" s="1" t="s">
        <v>24</v>
      </c>
      <c r="D56" s="1" t="s">
        <v>84</v>
      </c>
      <c r="E56" s="1" t="s">
        <v>60</v>
      </c>
      <c r="F56" s="1" t="s">
        <v>73</v>
      </c>
      <c r="G56" s="1" t="s">
        <v>77</v>
      </c>
      <c r="H56" s="2">
        <f t="shared" ref="H56:H68" si="4">A56+120</f>
        <v>45956</v>
      </c>
      <c r="I56" s="1">
        <v>3190</v>
      </c>
    </row>
    <row r="57" spans="1:9" x14ac:dyDescent="0.3">
      <c r="A57" s="2">
        <v>45839</v>
      </c>
      <c r="B57" s="1">
        <v>3876</v>
      </c>
      <c r="C57" s="1" t="s">
        <v>25</v>
      </c>
      <c r="D57" s="1" t="s">
        <v>84</v>
      </c>
      <c r="E57" s="1" t="s">
        <v>62</v>
      </c>
      <c r="F57" s="1" t="s">
        <v>75</v>
      </c>
      <c r="G57" s="1" t="s">
        <v>79</v>
      </c>
      <c r="H57" s="2">
        <f t="shared" si="4"/>
        <v>45959</v>
      </c>
      <c r="I57" s="1">
        <v>3451</v>
      </c>
    </row>
    <row r="58" spans="1:9" x14ac:dyDescent="0.3">
      <c r="A58" s="2">
        <v>45838</v>
      </c>
      <c r="B58" s="1">
        <v>4987</v>
      </c>
      <c r="C58" s="1" t="s">
        <v>26</v>
      </c>
      <c r="D58" s="1" t="s">
        <v>84</v>
      </c>
      <c r="E58" s="1" t="s">
        <v>63</v>
      </c>
      <c r="F58" s="1" t="s">
        <v>76</v>
      </c>
      <c r="G58" s="1" t="s">
        <v>80</v>
      </c>
      <c r="H58" s="2">
        <f t="shared" si="4"/>
        <v>45958</v>
      </c>
      <c r="I58" s="1">
        <v>750</v>
      </c>
    </row>
    <row r="59" spans="1:9" x14ac:dyDescent="0.3">
      <c r="A59" s="2">
        <v>45837</v>
      </c>
      <c r="B59" s="1">
        <v>5098</v>
      </c>
      <c r="C59" s="1" t="s">
        <v>107</v>
      </c>
      <c r="D59" s="1" t="s">
        <v>84</v>
      </c>
      <c r="E59" s="1" t="s">
        <v>86</v>
      </c>
      <c r="F59" s="1" t="s">
        <v>66</v>
      </c>
      <c r="G59" s="1" t="s">
        <v>72</v>
      </c>
      <c r="H59" s="2">
        <f t="shared" si="4"/>
        <v>45957</v>
      </c>
      <c r="I59" s="1">
        <v>1017</v>
      </c>
    </row>
    <row r="60" spans="1:9" x14ac:dyDescent="0.3">
      <c r="A60" s="2">
        <v>45836</v>
      </c>
      <c r="B60" s="1">
        <v>6109</v>
      </c>
      <c r="C60" s="1" t="s">
        <v>16</v>
      </c>
      <c r="D60" s="1" t="s">
        <v>85</v>
      </c>
      <c r="E60" s="1" t="s">
        <v>85</v>
      </c>
      <c r="F60" s="1" t="s">
        <v>67</v>
      </c>
      <c r="G60" s="1" t="s">
        <v>72</v>
      </c>
      <c r="H60" s="2">
        <f t="shared" si="4"/>
        <v>45956</v>
      </c>
      <c r="I60" s="1">
        <v>255</v>
      </c>
    </row>
    <row r="61" spans="1:9" x14ac:dyDescent="0.3">
      <c r="A61" s="2">
        <v>45662</v>
      </c>
      <c r="B61" s="1">
        <v>7210</v>
      </c>
      <c r="C61" s="1" t="s">
        <v>27</v>
      </c>
      <c r="D61" s="1" t="s">
        <v>84</v>
      </c>
      <c r="E61" s="1" t="s">
        <v>55</v>
      </c>
      <c r="F61" s="1" t="s">
        <v>68</v>
      </c>
      <c r="G61" s="1" t="s">
        <v>72</v>
      </c>
      <c r="H61" s="2">
        <f t="shared" si="4"/>
        <v>45782</v>
      </c>
      <c r="I61" s="1">
        <v>950</v>
      </c>
    </row>
    <row r="62" spans="1:9" x14ac:dyDescent="0.3">
      <c r="A62" s="2">
        <v>45661</v>
      </c>
      <c r="B62" s="1">
        <v>8321</v>
      </c>
      <c r="C62" s="1" t="s">
        <v>11</v>
      </c>
      <c r="D62" s="1" t="s">
        <v>84</v>
      </c>
      <c r="E62" s="1" t="s">
        <v>56</v>
      </c>
      <c r="F62" s="1" t="s">
        <v>69</v>
      </c>
      <c r="G62" s="1" t="s">
        <v>72</v>
      </c>
      <c r="H62" s="2">
        <f t="shared" si="4"/>
        <v>45781</v>
      </c>
      <c r="I62" s="1">
        <v>550</v>
      </c>
    </row>
    <row r="63" spans="1:9" x14ac:dyDescent="0.3">
      <c r="A63" s="2">
        <v>45660</v>
      </c>
      <c r="B63" s="1">
        <v>9432</v>
      </c>
      <c r="C63" s="1" t="s">
        <v>28</v>
      </c>
      <c r="D63" s="1" t="s">
        <v>57</v>
      </c>
      <c r="E63" s="1" t="s">
        <v>57</v>
      </c>
      <c r="F63" s="1" t="s">
        <v>70</v>
      </c>
      <c r="G63" s="1" t="s">
        <v>72</v>
      </c>
      <c r="H63" s="2">
        <f t="shared" si="4"/>
        <v>45780</v>
      </c>
      <c r="I63" s="1">
        <v>1500</v>
      </c>
    </row>
    <row r="64" spans="1:9" x14ac:dyDescent="0.3">
      <c r="A64" s="2">
        <v>45659</v>
      </c>
      <c r="B64" s="1">
        <v>1543</v>
      </c>
      <c r="C64" s="1" t="s">
        <v>4</v>
      </c>
      <c r="D64" s="1" t="s">
        <v>85</v>
      </c>
      <c r="E64" s="1" t="s">
        <v>85</v>
      </c>
      <c r="F64" s="1" t="s">
        <v>73</v>
      </c>
      <c r="G64" s="1" t="s">
        <v>77</v>
      </c>
      <c r="H64" s="2">
        <f t="shared" si="4"/>
        <v>45779</v>
      </c>
      <c r="I64" s="1">
        <v>200</v>
      </c>
    </row>
    <row r="65" spans="1:9" x14ac:dyDescent="0.3">
      <c r="A65" s="2">
        <v>45662</v>
      </c>
      <c r="B65" s="1">
        <v>4876</v>
      </c>
      <c r="C65" s="1" t="s">
        <v>4</v>
      </c>
      <c r="D65" s="1" t="s">
        <v>84</v>
      </c>
      <c r="E65" s="1" t="s">
        <v>59</v>
      </c>
      <c r="F65" s="1" t="s">
        <v>75</v>
      </c>
      <c r="G65" s="1" t="s">
        <v>79</v>
      </c>
      <c r="H65" s="2">
        <f t="shared" si="4"/>
        <v>45782</v>
      </c>
      <c r="I65" s="1">
        <v>6000</v>
      </c>
    </row>
    <row r="66" spans="1:9" x14ac:dyDescent="0.3">
      <c r="A66" s="2">
        <v>45660</v>
      </c>
      <c r="B66" s="1">
        <v>6098</v>
      </c>
      <c r="C66" s="1" t="s">
        <v>4</v>
      </c>
      <c r="D66" s="1" t="s">
        <v>84</v>
      </c>
      <c r="E66" s="1" t="s">
        <v>61</v>
      </c>
      <c r="F66" s="1" t="s">
        <v>66</v>
      </c>
      <c r="G66" s="1" t="s">
        <v>72</v>
      </c>
      <c r="H66" s="2">
        <f t="shared" si="4"/>
        <v>45780</v>
      </c>
      <c r="I66" s="1">
        <v>3590</v>
      </c>
    </row>
    <row r="67" spans="1:9" x14ac:dyDescent="0.3">
      <c r="A67" s="2">
        <v>45659</v>
      </c>
      <c r="B67" s="1">
        <v>7109</v>
      </c>
      <c r="C67" s="1" t="s">
        <v>29</v>
      </c>
      <c r="D67" s="1" t="s">
        <v>84</v>
      </c>
      <c r="E67" s="1" t="s">
        <v>62</v>
      </c>
      <c r="F67" s="1" t="s">
        <v>67</v>
      </c>
      <c r="G67" s="1" t="s">
        <v>72</v>
      </c>
      <c r="H67" s="2">
        <f t="shared" si="4"/>
        <v>45779</v>
      </c>
      <c r="I67" s="1">
        <v>3800</v>
      </c>
    </row>
    <row r="68" spans="1:9" x14ac:dyDescent="0.3">
      <c r="A68" s="2">
        <v>45658</v>
      </c>
      <c r="B68" s="1">
        <v>8210</v>
      </c>
      <c r="C68" s="1" t="s">
        <v>30</v>
      </c>
      <c r="D68" s="1" t="s">
        <v>84</v>
      </c>
      <c r="E68" s="1" t="s">
        <v>63</v>
      </c>
      <c r="F68" s="1" t="s">
        <v>68</v>
      </c>
      <c r="G68" s="1" t="s">
        <v>72</v>
      </c>
      <c r="H68" s="2">
        <f t="shared" si="4"/>
        <v>45778</v>
      </c>
      <c r="I68" s="1">
        <v>450</v>
      </c>
    </row>
    <row r="69" spans="1:9" x14ac:dyDescent="0.3">
      <c r="A69" s="2">
        <v>45661</v>
      </c>
      <c r="B69" s="1">
        <v>1432</v>
      </c>
      <c r="C69" s="1" t="s">
        <v>4</v>
      </c>
      <c r="D69" s="1" t="s">
        <v>85</v>
      </c>
      <c r="E69" s="1" t="s">
        <v>85</v>
      </c>
      <c r="F69" s="1" t="s">
        <v>70</v>
      </c>
      <c r="G69" s="1" t="s">
        <v>72</v>
      </c>
      <c r="H69" s="2">
        <f t="shared" si="2"/>
        <v>45721</v>
      </c>
      <c r="I69" s="1">
        <v>1720</v>
      </c>
    </row>
    <row r="70" spans="1:9" x14ac:dyDescent="0.3">
      <c r="A70" s="2">
        <v>45660</v>
      </c>
      <c r="B70" s="1">
        <v>2543</v>
      </c>
      <c r="C70" s="1" t="s">
        <v>4</v>
      </c>
      <c r="D70" s="1" t="s">
        <v>84</v>
      </c>
      <c r="E70" s="1" t="s">
        <v>55</v>
      </c>
      <c r="F70" s="1" t="s">
        <v>73</v>
      </c>
      <c r="G70" s="1" t="s">
        <v>77</v>
      </c>
      <c r="H70" s="2">
        <f t="shared" si="2"/>
        <v>45720</v>
      </c>
      <c r="I70" s="1">
        <v>3100</v>
      </c>
    </row>
    <row r="71" spans="1:9" x14ac:dyDescent="0.3">
      <c r="A71" s="2">
        <v>45659</v>
      </c>
      <c r="B71" s="1">
        <v>3654</v>
      </c>
      <c r="C71" s="1" t="s">
        <v>4</v>
      </c>
      <c r="D71" s="1" t="s">
        <v>84</v>
      </c>
      <c r="E71" s="1" t="s">
        <v>56</v>
      </c>
      <c r="F71" s="1" t="s">
        <v>74</v>
      </c>
      <c r="G71" s="1" t="s">
        <v>78</v>
      </c>
      <c r="H71" s="2">
        <f t="shared" si="2"/>
        <v>45719</v>
      </c>
      <c r="I71" s="1">
        <v>1519</v>
      </c>
    </row>
    <row r="72" spans="1:9" x14ac:dyDescent="0.3">
      <c r="A72" s="2">
        <v>45658</v>
      </c>
      <c r="B72" s="1">
        <v>4765</v>
      </c>
      <c r="C72" s="1" t="s">
        <v>31</v>
      </c>
      <c r="D72" s="1" t="s">
        <v>57</v>
      </c>
      <c r="E72" s="1" t="s">
        <v>57</v>
      </c>
      <c r="F72" s="1" t="s">
        <v>75</v>
      </c>
      <c r="G72" s="1" t="s">
        <v>79</v>
      </c>
      <c r="H72" s="2">
        <f t="shared" si="2"/>
        <v>45718</v>
      </c>
      <c r="I72" s="1">
        <v>1695</v>
      </c>
    </row>
    <row r="73" spans="1:9" x14ac:dyDescent="0.3">
      <c r="A73" s="2">
        <v>45662</v>
      </c>
      <c r="B73" s="1">
        <v>5876</v>
      </c>
      <c r="C73" s="1" t="s">
        <v>4</v>
      </c>
      <c r="D73" s="1" t="s">
        <v>85</v>
      </c>
      <c r="E73" s="1" t="s">
        <v>85</v>
      </c>
      <c r="F73" s="1" t="s">
        <v>76</v>
      </c>
      <c r="G73" s="1" t="s">
        <v>80</v>
      </c>
      <c r="H73" s="2">
        <f t="shared" si="2"/>
        <v>45722</v>
      </c>
      <c r="I73" s="1">
        <v>1977</v>
      </c>
    </row>
    <row r="74" spans="1:9" x14ac:dyDescent="0.3">
      <c r="A74" s="2">
        <v>45661</v>
      </c>
      <c r="B74" s="1">
        <v>6987</v>
      </c>
      <c r="C74" s="1" t="s">
        <v>25</v>
      </c>
      <c r="D74" s="1" t="s">
        <v>58</v>
      </c>
      <c r="E74" s="1" t="s">
        <v>87</v>
      </c>
      <c r="F74" s="1" t="s">
        <v>66</v>
      </c>
      <c r="G74" s="1" t="s">
        <v>72</v>
      </c>
      <c r="H74" s="2">
        <f t="shared" si="2"/>
        <v>45721</v>
      </c>
      <c r="I74" s="4">
        <v>1989.5436</v>
      </c>
    </row>
    <row r="75" spans="1:9" x14ac:dyDescent="0.3">
      <c r="A75" s="2">
        <v>45660</v>
      </c>
      <c r="B75" s="1">
        <v>7098</v>
      </c>
      <c r="C75" s="1" t="s">
        <v>29</v>
      </c>
      <c r="D75" s="1" t="s">
        <v>84</v>
      </c>
      <c r="E75" s="1" t="s">
        <v>86</v>
      </c>
      <c r="F75" s="1" t="s">
        <v>67</v>
      </c>
      <c r="G75" s="1" t="s">
        <v>72</v>
      </c>
      <c r="H75" s="2">
        <f t="shared" si="2"/>
        <v>45720</v>
      </c>
      <c r="I75" s="1">
        <v>3504</v>
      </c>
    </row>
    <row r="76" spans="1:9" x14ac:dyDescent="0.3">
      <c r="A76" s="2">
        <v>45659</v>
      </c>
      <c r="B76" s="1">
        <v>8109</v>
      </c>
      <c r="C76" s="1" t="s">
        <v>3</v>
      </c>
      <c r="D76" s="1" t="s">
        <v>84</v>
      </c>
      <c r="E76" s="1" t="s">
        <v>59</v>
      </c>
      <c r="F76" s="1" t="s">
        <v>68</v>
      </c>
      <c r="G76" s="1" t="s">
        <v>72</v>
      </c>
      <c r="H76" s="2">
        <f t="shared" si="2"/>
        <v>45719</v>
      </c>
      <c r="I76" s="1">
        <v>3695</v>
      </c>
    </row>
    <row r="77" spans="1:9" x14ac:dyDescent="0.3">
      <c r="A77" s="2">
        <v>45658</v>
      </c>
      <c r="B77" s="1">
        <v>9210</v>
      </c>
      <c r="C77" s="1" t="s">
        <v>32</v>
      </c>
      <c r="D77" s="1" t="s">
        <v>84</v>
      </c>
      <c r="E77" s="1" t="s">
        <v>60</v>
      </c>
      <c r="F77" s="1" t="s">
        <v>69</v>
      </c>
      <c r="G77" s="1" t="s">
        <v>72</v>
      </c>
      <c r="H77" s="2">
        <f t="shared" si="2"/>
        <v>45718</v>
      </c>
      <c r="I77" s="1">
        <v>2120</v>
      </c>
    </row>
    <row r="78" spans="1:9" x14ac:dyDescent="0.3">
      <c r="A78" s="2">
        <v>45662</v>
      </c>
      <c r="B78" s="1">
        <v>1321</v>
      </c>
      <c r="C78" s="1" t="s">
        <v>4</v>
      </c>
      <c r="D78" s="1" t="s">
        <v>84</v>
      </c>
      <c r="E78" s="1" t="s">
        <v>61</v>
      </c>
      <c r="F78" s="1" t="s">
        <v>70</v>
      </c>
      <c r="G78" s="1" t="s">
        <v>72</v>
      </c>
      <c r="H78" s="2">
        <f t="shared" si="2"/>
        <v>45722</v>
      </c>
      <c r="I78" s="1">
        <v>2440</v>
      </c>
    </row>
    <row r="79" spans="1:9" x14ac:dyDescent="0.3">
      <c r="A79" s="2">
        <v>45661</v>
      </c>
      <c r="B79" s="1">
        <v>2432</v>
      </c>
      <c r="C79" s="1" t="s">
        <v>4</v>
      </c>
      <c r="D79" s="1" t="s">
        <v>84</v>
      </c>
      <c r="E79" s="1" t="s">
        <v>62</v>
      </c>
      <c r="F79" s="1" t="s">
        <v>73</v>
      </c>
      <c r="G79" s="1" t="s">
        <v>77</v>
      </c>
      <c r="H79" s="2">
        <f t="shared" si="2"/>
        <v>45721</v>
      </c>
      <c r="I79" s="1">
        <v>1890</v>
      </c>
    </row>
    <row r="80" spans="1:9" x14ac:dyDescent="0.3">
      <c r="A80" s="2">
        <v>45660</v>
      </c>
      <c r="B80" s="1">
        <v>3543</v>
      </c>
      <c r="C80" s="1" t="s">
        <v>2</v>
      </c>
      <c r="D80" s="1" t="s">
        <v>84</v>
      </c>
      <c r="E80" s="1" t="s">
        <v>63</v>
      </c>
      <c r="F80" s="1" t="s">
        <v>74</v>
      </c>
      <c r="G80" s="1" t="s">
        <v>78</v>
      </c>
      <c r="H80" s="2">
        <f t="shared" si="2"/>
        <v>45720</v>
      </c>
      <c r="I80" s="1">
        <v>1800</v>
      </c>
    </row>
    <row r="81" spans="1:9" x14ac:dyDescent="0.3">
      <c r="A81" s="2">
        <v>45659</v>
      </c>
      <c r="B81" s="1">
        <v>4654</v>
      </c>
      <c r="C81" s="1" t="s">
        <v>4</v>
      </c>
      <c r="D81" s="1" t="s">
        <v>84</v>
      </c>
      <c r="E81" s="1" t="s">
        <v>86</v>
      </c>
      <c r="F81" s="1" t="s">
        <v>75</v>
      </c>
      <c r="G81" s="1" t="s">
        <v>79</v>
      </c>
      <c r="H81" s="2">
        <f t="shared" si="2"/>
        <v>45719</v>
      </c>
      <c r="I81" s="1">
        <v>1700</v>
      </c>
    </row>
    <row r="82" spans="1:9" x14ac:dyDescent="0.3">
      <c r="A82" s="2">
        <v>45662</v>
      </c>
      <c r="B82" s="1">
        <v>6876</v>
      </c>
      <c r="C82" s="1" t="s">
        <v>33</v>
      </c>
      <c r="D82" s="1" t="s">
        <v>84</v>
      </c>
      <c r="E82" s="1" t="s">
        <v>55</v>
      </c>
      <c r="F82" s="1" t="s">
        <v>76</v>
      </c>
      <c r="G82" s="1" t="s">
        <v>80</v>
      </c>
      <c r="H82" s="2">
        <f>A82+30</f>
        <v>45692</v>
      </c>
      <c r="I82" s="1">
        <v>1175</v>
      </c>
    </row>
    <row r="83" spans="1:9" x14ac:dyDescent="0.3">
      <c r="A83" s="2">
        <v>45661</v>
      </c>
      <c r="B83" s="1">
        <v>7987</v>
      </c>
      <c r="C83" s="1" t="s">
        <v>31</v>
      </c>
      <c r="D83" s="1" t="s">
        <v>84</v>
      </c>
      <c r="E83" s="1" t="s">
        <v>56</v>
      </c>
      <c r="F83" s="1" t="s">
        <v>66</v>
      </c>
      <c r="G83" s="1" t="s">
        <v>72</v>
      </c>
      <c r="H83" s="2">
        <f t="shared" ref="H83:H102" si="5">A83+30</f>
        <v>45691</v>
      </c>
      <c r="I83" s="1">
        <v>420</v>
      </c>
    </row>
    <row r="84" spans="1:9" x14ac:dyDescent="0.3">
      <c r="A84" s="2">
        <v>45659</v>
      </c>
      <c r="B84" s="1">
        <v>9109</v>
      </c>
      <c r="C84" s="1" t="s">
        <v>11</v>
      </c>
      <c r="D84" s="1" t="s">
        <v>85</v>
      </c>
      <c r="E84" s="1" t="s">
        <v>85</v>
      </c>
      <c r="F84" s="1" t="s">
        <v>68</v>
      </c>
      <c r="G84" s="1" t="s">
        <v>72</v>
      </c>
      <c r="H84" s="2">
        <f t="shared" si="5"/>
        <v>45689</v>
      </c>
      <c r="I84" s="1">
        <v>675</v>
      </c>
    </row>
    <row r="85" spans="1:9" x14ac:dyDescent="0.3">
      <c r="A85" s="2">
        <v>45658</v>
      </c>
      <c r="B85" s="1">
        <v>1211</v>
      </c>
      <c r="C85" s="1" t="s">
        <v>34</v>
      </c>
      <c r="D85" s="1" t="s">
        <v>58</v>
      </c>
      <c r="E85" s="1" t="s">
        <v>104</v>
      </c>
      <c r="F85" s="1" t="s">
        <v>69</v>
      </c>
      <c r="G85" s="1" t="s">
        <v>72</v>
      </c>
      <c r="H85" s="2">
        <f t="shared" si="5"/>
        <v>45688</v>
      </c>
      <c r="I85" s="4">
        <v>1800</v>
      </c>
    </row>
    <row r="86" spans="1:9" x14ac:dyDescent="0.3">
      <c r="A86" s="2">
        <v>45839</v>
      </c>
      <c r="B86" s="1">
        <v>3433</v>
      </c>
      <c r="C86" s="1" t="s">
        <v>3</v>
      </c>
      <c r="D86" s="1" t="s">
        <v>84</v>
      </c>
      <c r="E86" s="1" t="s">
        <v>59</v>
      </c>
      <c r="F86" s="1" t="s">
        <v>73</v>
      </c>
      <c r="G86" s="1" t="s">
        <v>77</v>
      </c>
      <c r="H86" s="2">
        <f t="shared" si="5"/>
        <v>45869</v>
      </c>
      <c r="I86" s="1">
        <v>1356</v>
      </c>
    </row>
    <row r="87" spans="1:9" x14ac:dyDescent="0.3">
      <c r="A87" s="2">
        <v>45837</v>
      </c>
      <c r="B87" s="1">
        <v>5655</v>
      </c>
      <c r="C87" s="1" t="s">
        <v>11</v>
      </c>
      <c r="D87" s="1" t="s">
        <v>84</v>
      </c>
      <c r="E87" s="1" t="s">
        <v>61</v>
      </c>
      <c r="F87" s="1" t="s">
        <v>75</v>
      </c>
      <c r="G87" s="1" t="s">
        <v>79</v>
      </c>
      <c r="H87" s="2">
        <f t="shared" si="5"/>
        <v>45867</v>
      </c>
      <c r="I87" s="1">
        <v>5600</v>
      </c>
    </row>
    <row r="88" spans="1:9" x14ac:dyDescent="0.3">
      <c r="A88" s="2">
        <v>45836</v>
      </c>
      <c r="B88" s="1">
        <v>6766</v>
      </c>
      <c r="C88" s="1" t="s">
        <v>4</v>
      </c>
      <c r="D88" s="1" t="s">
        <v>84</v>
      </c>
      <c r="E88" s="1" t="s">
        <v>62</v>
      </c>
      <c r="F88" s="1" t="s">
        <v>76</v>
      </c>
      <c r="G88" s="1" t="s">
        <v>80</v>
      </c>
      <c r="H88" s="2">
        <f t="shared" si="5"/>
        <v>45866</v>
      </c>
      <c r="I88" s="1">
        <v>1780</v>
      </c>
    </row>
    <row r="89" spans="1:9" x14ac:dyDescent="0.3">
      <c r="A89" s="2">
        <v>45840</v>
      </c>
      <c r="B89" s="1">
        <v>7877</v>
      </c>
      <c r="C89" s="1" t="s">
        <v>10</v>
      </c>
      <c r="D89" s="1" t="s">
        <v>84</v>
      </c>
      <c r="E89" s="1" t="s">
        <v>63</v>
      </c>
      <c r="F89" s="1" t="s">
        <v>66</v>
      </c>
      <c r="G89" s="1" t="s">
        <v>72</v>
      </c>
      <c r="H89" s="2">
        <f t="shared" si="5"/>
        <v>45870</v>
      </c>
      <c r="I89" s="1">
        <v>1412</v>
      </c>
    </row>
    <row r="90" spans="1:9" x14ac:dyDescent="0.3">
      <c r="A90" s="2">
        <v>45839</v>
      </c>
      <c r="B90" s="1">
        <v>8988</v>
      </c>
      <c r="C90" s="1" t="s">
        <v>4</v>
      </c>
      <c r="D90" s="1" t="s">
        <v>84</v>
      </c>
      <c r="E90" s="1" t="s">
        <v>86</v>
      </c>
      <c r="F90" s="1" t="s">
        <v>67</v>
      </c>
      <c r="G90" s="1" t="s">
        <v>72</v>
      </c>
      <c r="H90" s="2">
        <f t="shared" si="5"/>
        <v>45869</v>
      </c>
      <c r="I90" s="1">
        <v>1500</v>
      </c>
    </row>
    <row r="91" spans="1:9" x14ac:dyDescent="0.3">
      <c r="A91" s="2">
        <v>45838</v>
      </c>
      <c r="B91" s="1">
        <v>9099</v>
      </c>
      <c r="C91" s="1" t="s">
        <v>10</v>
      </c>
      <c r="D91" s="1" t="s">
        <v>85</v>
      </c>
      <c r="E91" s="1" t="s">
        <v>85</v>
      </c>
      <c r="F91" s="1" t="s">
        <v>68</v>
      </c>
      <c r="G91" s="1" t="s">
        <v>72</v>
      </c>
      <c r="H91" s="2">
        <f t="shared" si="5"/>
        <v>45868</v>
      </c>
      <c r="I91" s="1">
        <v>150</v>
      </c>
    </row>
    <row r="92" spans="1:9" x14ac:dyDescent="0.3">
      <c r="A92" s="2">
        <v>45837</v>
      </c>
      <c r="B92" s="1">
        <v>1212</v>
      </c>
      <c r="C92" s="1" t="s">
        <v>35</v>
      </c>
      <c r="D92" s="1" t="s">
        <v>84</v>
      </c>
      <c r="E92" s="1" t="s">
        <v>55</v>
      </c>
      <c r="F92" s="1" t="s">
        <v>69</v>
      </c>
      <c r="G92" s="1" t="s">
        <v>72</v>
      </c>
      <c r="H92" s="2">
        <f t="shared" si="5"/>
        <v>45867</v>
      </c>
      <c r="I92" s="1">
        <v>2910</v>
      </c>
    </row>
    <row r="93" spans="1:9" x14ac:dyDescent="0.3">
      <c r="A93" s="2">
        <v>45836</v>
      </c>
      <c r="B93" s="1">
        <v>2323</v>
      </c>
      <c r="C93" s="1" t="s">
        <v>4</v>
      </c>
      <c r="D93" s="1" t="s">
        <v>84</v>
      </c>
      <c r="E93" s="1" t="s">
        <v>56</v>
      </c>
      <c r="F93" s="1" t="s">
        <v>70</v>
      </c>
      <c r="G93" s="1" t="s">
        <v>72</v>
      </c>
      <c r="H93" s="2">
        <f t="shared" si="5"/>
        <v>45866</v>
      </c>
      <c r="I93" s="1">
        <v>240</v>
      </c>
    </row>
    <row r="94" spans="1:9" x14ac:dyDescent="0.3">
      <c r="A94" s="2">
        <v>45840</v>
      </c>
      <c r="B94" s="1">
        <v>3434</v>
      </c>
      <c r="C94" s="1" t="s">
        <v>3</v>
      </c>
      <c r="D94" s="1" t="s">
        <v>57</v>
      </c>
      <c r="E94" s="1" t="s">
        <v>57</v>
      </c>
      <c r="F94" s="1" t="s">
        <v>73</v>
      </c>
      <c r="G94" s="1" t="s">
        <v>77</v>
      </c>
      <c r="H94" s="2">
        <f t="shared" si="5"/>
        <v>45870</v>
      </c>
      <c r="I94" s="1">
        <v>850</v>
      </c>
    </row>
    <row r="95" spans="1:9" x14ac:dyDescent="0.3">
      <c r="A95" s="2">
        <v>45838</v>
      </c>
      <c r="B95" s="1">
        <v>5656</v>
      </c>
      <c r="C95" s="1" t="s">
        <v>10</v>
      </c>
      <c r="D95" s="1" t="s">
        <v>58</v>
      </c>
      <c r="E95" s="1" t="s">
        <v>87</v>
      </c>
      <c r="F95" s="1" t="s">
        <v>75</v>
      </c>
      <c r="G95" s="1" t="s">
        <v>79</v>
      </c>
      <c r="H95" s="2">
        <f t="shared" si="5"/>
        <v>45868</v>
      </c>
      <c r="I95" s="4">
        <v>1600</v>
      </c>
    </row>
    <row r="96" spans="1:9" x14ac:dyDescent="0.3">
      <c r="A96" s="2">
        <v>45836</v>
      </c>
      <c r="B96" s="1">
        <v>7878</v>
      </c>
      <c r="C96" s="1" t="s">
        <v>10</v>
      </c>
      <c r="D96" s="1" t="s">
        <v>84</v>
      </c>
      <c r="E96" s="1" t="s">
        <v>59</v>
      </c>
      <c r="F96" s="1" t="s">
        <v>66</v>
      </c>
      <c r="G96" s="1" t="s">
        <v>72</v>
      </c>
      <c r="H96" s="2">
        <f t="shared" si="5"/>
        <v>45866</v>
      </c>
      <c r="I96" s="1">
        <v>1730</v>
      </c>
    </row>
    <row r="97" spans="1:9" x14ac:dyDescent="0.3">
      <c r="A97" s="2">
        <v>45840</v>
      </c>
      <c r="B97" s="1">
        <v>8989</v>
      </c>
      <c r="C97" s="1" t="s">
        <v>33</v>
      </c>
      <c r="D97" s="1" t="s">
        <v>84</v>
      </c>
      <c r="E97" s="1" t="s">
        <v>60</v>
      </c>
      <c r="F97" s="1" t="s">
        <v>67</v>
      </c>
      <c r="G97" s="1" t="s">
        <v>72</v>
      </c>
      <c r="H97" s="2">
        <f t="shared" si="5"/>
        <v>45870</v>
      </c>
      <c r="I97" s="1">
        <v>795</v>
      </c>
    </row>
    <row r="98" spans="1:9" x14ac:dyDescent="0.3">
      <c r="A98" s="2">
        <v>45839</v>
      </c>
      <c r="B98" s="1">
        <v>9090</v>
      </c>
      <c r="C98" s="1" t="s">
        <v>5</v>
      </c>
      <c r="D98" s="1" t="s">
        <v>84</v>
      </c>
      <c r="E98" s="1" t="s">
        <v>61</v>
      </c>
      <c r="F98" s="1" t="s">
        <v>68</v>
      </c>
      <c r="G98" s="1" t="s">
        <v>72</v>
      </c>
      <c r="H98" s="2">
        <f t="shared" si="5"/>
        <v>45869</v>
      </c>
      <c r="I98" s="1">
        <v>5781</v>
      </c>
    </row>
    <row r="99" spans="1:9" x14ac:dyDescent="0.3">
      <c r="A99" s="2">
        <v>45838</v>
      </c>
      <c r="B99" s="1">
        <v>1213</v>
      </c>
      <c r="C99" s="1" t="s">
        <v>5</v>
      </c>
      <c r="D99" s="1" t="s">
        <v>84</v>
      </c>
      <c r="E99" s="1" t="s">
        <v>62</v>
      </c>
      <c r="F99" s="1" t="s">
        <v>69</v>
      </c>
      <c r="G99" s="1" t="s">
        <v>72</v>
      </c>
      <c r="H99" s="2">
        <f t="shared" si="5"/>
        <v>45868</v>
      </c>
      <c r="I99" s="1">
        <v>1752</v>
      </c>
    </row>
    <row r="100" spans="1:9" x14ac:dyDescent="0.3">
      <c r="A100" s="2">
        <v>45837</v>
      </c>
      <c r="B100" s="1">
        <v>2324</v>
      </c>
      <c r="C100" s="1" t="s">
        <v>22</v>
      </c>
      <c r="D100" s="1" t="s">
        <v>84</v>
      </c>
      <c r="E100" s="1" t="s">
        <v>63</v>
      </c>
      <c r="F100" s="1" t="s">
        <v>70</v>
      </c>
      <c r="G100" s="1" t="s">
        <v>72</v>
      </c>
      <c r="H100" s="2">
        <f t="shared" si="5"/>
        <v>45867</v>
      </c>
      <c r="I100" s="1">
        <v>2037</v>
      </c>
    </row>
    <row r="101" spans="1:9" x14ac:dyDescent="0.3">
      <c r="A101" s="2">
        <v>45836</v>
      </c>
      <c r="B101" s="1">
        <v>3435</v>
      </c>
      <c r="C101" s="1" t="s">
        <v>11</v>
      </c>
      <c r="D101" s="1" t="s">
        <v>84</v>
      </c>
      <c r="E101" s="1" t="s">
        <v>86</v>
      </c>
      <c r="F101" s="1" t="s">
        <v>73</v>
      </c>
      <c r="G101" s="1" t="s">
        <v>77</v>
      </c>
      <c r="H101" s="2">
        <f t="shared" si="5"/>
        <v>45866</v>
      </c>
      <c r="I101" s="1">
        <v>2240</v>
      </c>
    </row>
    <row r="102" spans="1:9" x14ac:dyDescent="0.3">
      <c r="A102" s="2">
        <v>45840</v>
      </c>
      <c r="B102" s="1">
        <v>4546</v>
      </c>
      <c r="C102" s="1" t="s">
        <v>29</v>
      </c>
      <c r="D102" s="1" t="s">
        <v>85</v>
      </c>
      <c r="E102" s="1" t="s">
        <v>85</v>
      </c>
      <c r="F102" s="1" t="s">
        <v>74</v>
      </c>
      <c r="G102" s="1" t="s">
        <v>78</v>
      </c>
      <c r="H102" s="2">
        <f t="shared" si="5"/>
        <v>45870</v>
      </c>
      <c r="I102" s="1">
        <v>190</v>
      </c>
    </row>
    <row r="103" spans="1:9" x14ac:dyDescent="0.3">
      <c r="A103" s="2">
        <v>45839</v>
      </c>
      <c r="B103" s="1">
        <v>5657</v>
      </c>
      <c r="C103" s="1" t="s">
        <v>36</v>
      </c>
      <c r="D103" s="1" t="s">
        <v>84</v>
      </c>
      <c r="E103" s="1" t="s">
        <v>55</v>
      </c>
      <c r="F103" s="1" t="s">
        <v>75</v>
      </c>
      <c r="G103" s="1" t="s">
        <v>79</v>
      </c>
      <c r="H103" s="2">
        <f>A103+90</f>
        <v>45929</v>
      </c>
      <c r="I103" s="1">
        <v>160</v>
      </c>
    </row>
    <row r="104" spans="1:9" x14ac:dyDescent="0.3">
      <c r="A104" s="2">
        <v>45838</v>
      </c>
      <c r="B104" s="1">
        <v>6768</v>
      </c>
      <c r="C104" s="1" t="s">
        <v>22</v>
      </c>
      <c r="D104" s="1" t="s">
        <v>84</v>
      </c>
      <c r="E104" s="1" t="s">
        <v>56</v>
      </c>
      <c r="F104" s="1" t="s">
        <v>76</v>
      </c>
      <c r="G104" s="1" t="s">
        <v>80</v>
      </c>
      <c r="H104" s="2">
        <f t="shared" ref="H104:H136" si="6">A104+90</f>
        <v>45928</v>
      </c>
      <c r="I104" s="1">
        <v>270</v>
      </c>
    </row>
    <row r="105" spans="1:9" x14ac:dyDescent="0.3">
      <c r="A105" s="2">
        <v>45837</v>
      </c>
      <c r="B105" s="1">
        <v>7879</v>
      </c>
      <c r="C105" s="1" t="s">
        <v>11</v>
      </c>
      <c r="D105" s="1" t="s">
        <v>57</v>
      </c>
      <c r="E105" s="1" t="s">
        <v>57</v>
      </c>
      <c r="F105" s="1" t="s">
        <v>66</v>
      </c>
      <c r="G105" s="1" t="s">
        <v>72</v>
      </c>
      <c r="H105" s="2">
        <f t="shared" si="6"/>
        <v>45927</v>
      </c>
      <c r="I105" s="1">
        <v>532</v>
      </c>
    </row>
    <row r="106" spans="1:9" x14ac:dyDescent="0.3">
      <c r="A106" s="2">
        <v>45836</v>
      </c>
      <c r="B106" s="1">
        <v>8990</v>
      </c>
      <c r="C106" s="1" t="s">
        <v>11</v>
      </c>
      <c r="D106" s="1" t="s">
        <v>85</v>
      </c>
      <c r="E106" s="1" t="s">
        <v>85</v>
      </c>
      <c r="F106" s="1" t="s">
        <v>67</v>
      </c>
      <c r="G106" s="1" t="s">
        <v>72</v>
      </c>
      <c r="H106" s="2">
        <f t="shared" si="6"/>
        <v>45926</v>
      </c>
      <c r="I106" s="1">
        <v>700</v>
      </c>
    </row>
    <row r="107" spans="1:9" x14ac:dyDescent="0.3">
      <c r="A107" s="2">
        <v>45840</v>
      </c>
      <c r="B107" s="1">
        <v>9091</v>
      </c>
      <c r="C107" s="1" t="s">
        <v>37</v>
      </c>
      <c r="D107" s="1" t="s">
        <v>58</v>
      </c>
      <c r="E107" s="1" t="s">
        <v>88</v>
      </c>
      <c r="F107" s="1" t="s">
        <v>68</v>
      </c>
      <c r="G107" s="1" t="s">
        <v>72</v>
      </c>
      <c r="H107" s="2">
        <f t="shared" si="6"/>
        <v>45930</v>
      </c>
      <c r="I107" s="4">
        <v>939.16039999999998</v>
      </c>
    </row>
    <row r="108" spans="1:9" x14ac:dyDescent="0.3">
      <c r="A108" s="2">
        <v>45839</v>
      </c>
      <c r="B108" s="1">
        <v>1221</v>
      </c>
      <c r="C108" s="1" t="s">
        <v>28</v>
      </c>
      <c r="D108" s="1" t="s">
        <v>84</v>
      </c>
      <c r="E108" s="1" t="s">
        <v>86</v>
      </c>
      <c r="F108" s="1" t="s">
        <v>69</v>
      </c>
      <c r="G108" s="1" t="s">
        <v>72</v>
      </c>
      <c r="H108" s="2">
        <f t="shared" si="6"/>
        <v>45929</v>
      </c>
      <c r="I108" s="1">
        <v>780</v>
      </c>
    </row>
    <row r="109" spans="1:9" x14ac:dyDescent="0.3">
      <c r="A109" s="2">
        <v>45838</v>
      </c>
      <c r="B109" s="1">
        <v>2332</v>
      </c>
      <c r="C109" s="1" t="s">
        <v>37</v>
      </c>
      <c r="D109" s="1" t="s">
        <v>84</v>
      </c>
      <c r="E109" s="1" t="s">
        <v>59</v>
      </c>
      <c r="F109" s="1" t="s">
        <v>70</v>
      </c>
      <c r="G109" s="1" t="s">
        <v>72</v>
      </c>
      <c r="H109" s="2">
        <f t="shared" si="6"/>
        <v>45928</v>
      </c>
      <c r="I109" s="1">
        <v>1000</v>
      </c>
    </row>
    <row r="110" spans="1:9" x14ac:dyDescent="0.3">
      <c r="A110" s="2">
        <v>45837</v>
      </c>
      <c r="B110" s="1">
        <v>3443</v>
      </c>
      <c r="C110" s="1" t="s">
        <v>11</v>
      </c>
      <c r="D110" s="1" t="s">
        <v>84</v>
      </c>
      <c r="E110" s="1" t="s">
        <v>60</v>
      </c>
      <c r="F110" s="1" t="s">
        <v>73</v>
      </c>
      <c r="G110" s="1" t="s">
        <v>77</v>
      </c>
      <c r="H110" s="2">
        <f t="shared" si="6"/>
        <v>45927</v>
      </c>
      <c r="I110" s="1">
        <v>1900</v>
      </c>
    </row>
    <row r="111" spans="1:9" x14ac:dyDescent="0.3">
      <c r="A111" s="2">
        <v>45836</v>
      </c>
      <c r="B111" s="1">
        <v>4554</v>
      </c>
      <c r="C111" s="1" t="s">
        <v>14</v>
      </c>
      <c r="D111" s="1" t="s">
        <v>84</v>
      </c>
      <c r="E111" s="1" t="s">
        <v>61</v>
      </c>
      <c r="F111" s="1" t="s">
        <v>74</v>
      </c>
      <c r="G111" s="1" t="s">
        <v>78</v>
      </c>
      <c r="H111" s="2">
        <f t="shared" si="6"/>
        <v>45926</v>
      </c>
      <c r="I111" s="1">
        <v>2938</v>
      </c>
    </row>
    <row r="112" spans="1:9" x14ac:dyDescent="0.3">
      <c r="A112" s="2">
        <v>45840</v>
      </c>
      <c r="B112" s="1">
        <v>5665</v>
      </c>
      <c r="C112" s="1" t="s">
        <v>17</v>
      </c>
      <c r="D112" s="1" t="s">
        <v>84</v>
      </c>
      <c r="E112" s="1" t="s">
        <v>62</v>
      </c>
      <c r="F112" s="1" t="s">
        <v>75</v>
      </c>
      <c r="G112" s="1" t="s">
        <v>79</v>
      </c>
      <c r="H112" s="2">
        <f t="shared" si="6"/>
        <v>45930</v>
      </c>
      <c r="I112" s="1">
        <v>1660</v>
      </c>
    </row>
    <row r="113" spans="1:9" x14ac:dyDescent="0.3">
      <c r="A113" s="2">
        <v>45839</v>
      </c>
      <c r="B113" s="1">
        <v>6776</v>
      </c>
      <c r="C113" s="1" t="s">
        <v>17</v>
      </c>
      <c r="D113" s="1" t="s">
        <v>84</v>
      </c>
      <c r="E113" s="1" t="s">
        <v>63</v>
      </c>
      <c r="F113" s="1" t="s">
        <v>76</v>
      </c>
      <c r="G113" s="1" t="s">
        <v>80</v>
      </c>
      <c r="H113" s="2">
        <f t="shared" si="6"/>
        <v>45929</v>
      </c>
      <c r="I113" s="1">
        <v>1850</v>
      </c>
    </row>
    <row r="114" spans="1:9" x14ac:dyDescent="0.3">
      <c r="A114" s="2">
        <v>45838</v>
      </c>
      <c r="B114" s="1">
        <v>7887</v>
      </c>
      <c r="C114" s="1" t="s">
        <v>37</v>
      </c>
      <c r="D114" s="1" t="s">
        <v>84</v>
      </c>
      <c r="E114" s="1" t="s">
        <v>86</v>
      </c>
      <c r="F114" s="1" t="s">
        <v>66</v>
      </c>
      <c r="G114" s="1" t="s">
        <v>72</v>
      </c>
      <c r="H114" s="2">
        <f t="shared" si="6"/>
        <v>45928</v>
      </c>
      <c r="I114" s="1">
        <v>850</v>
      </c>
    </row>
    <row r="115" spans="1:9" x14ac:dyDescent="0.3">
      <c r="A115" s="2">
        <v>45837</v>
      </c>
      <c r="B115" s="1">
        <v>8998</v>
      </c>
      <c r="C115" s="1" t="s">
        <v>28</v>
      </c>
      <c r="D115" s="1" t="s">
        <v>85</v>
      </c>
      <c r="E115" s="1" t="s">
        <v>85</v>
      </c>
      <c r="F115" s="1" t="s">
        <v>67</v>
      </c>
      <c r="G115" s="1" t="s">
        <v>72</v>
      </c>
      <c r="H115" s="2">
        <f t="shared" si="6"/>
        <v>45927</v>
      </c>
      <c r="I115" s="1">
        <v>190</v>
      </c>
    </row>
    <row r="116" spans="1:9" x14ac:dyDescent="0.3">
      <c r="A116" s="2">
        <v>45836</v>
      </c>
      <c r="B116" s="1">
        <v>9009</v>
      </c>
      <c r="C116" s="1" t="s">
        <v>3</v>
      </c>
      <c r="D116" s="1" t="s">
        <v>84</v>
      </c>
      <c r="E116" s="1" t="s">
        <v>55</v>
      </c>
      <c r="F116" s="1" t="s">
        <v>68</v>
      </c>
      <c r="G116" s="1" t="s">
        <v>72</v>
      </c>
      <c r="H116" s="2">
        <f t="shared" si="6"/>
        <v>45926</v>
      </c>
      <c r="I116" s="1">
        <v>350</v>
      </c>
    </row>
    <row r="117" spans="1:9" x14ac:dyDescent="0.3">
      <c r="A117" s="2">
        <v>45840</v>
      </c>
      <c r="B117" s="1">
        <v>1223</v>
      </c>
      <c r="C117" s="1" t="s">
        <v>17</v>
      </c>
      <c r="D117" s="1" t="s">
        <v>84</v>
      </c>
      <c r="E117" s="1" t="s">
        <v>56</v>
      </c>
      <c r="F117" s="1" t="s">
        <v>69</v>
      </c>
      <c r="G117" s="1" t="s">
        <v>72</v>
      </c>
      <c r="H117" s="2">
        <f t="shared" si="6"/>
        <v>45930</v>
      </c>
      <c r="I117" s="1">
        <v>1504</v>
      </c>
    </row>
    <row r="118" spans="1:9" x14ac:dyDescent="0.3">
      <c r="A118" s="2">
        <v>45839</v>
      </c>
      <c r="B118" s="1">
        <v>2334</v>
      </c>
      <c r="C118" s="1" t="s">
        <v>4</v>
      </c>
      <c r="D118" s="1" t="s">
        <v>57</v>
      </c>
      <c r="E118" s="1" t="s">
        <v>57</v>
      </c>
      <c r="F118" s="1" t="s">
        <v>70</v>
      </c>
      <c r="G118" s="1" t="s">
        <v>72</v>
      </c>
      <c r="H118" s="2">
        <f t="shared" si="6"/>
        <v>45929</v>
      </c>
      <c r="I118" s="1">
        <v>900</v>
      </c>
    </row>
    <row r="119" spans="1:9" x14ac:dyDescent="0.3">
      <c r="A119" s="2">
        <v>45838</v>
      </c>
      <c r="B119" s="1">
        <v>3445</v>
      </c>
      <c r="C119" s="1" t="s">
        <v>28</v>
      </c>
      <c r="D119" s="1" t="s">
        <v>85</v>
      </c>
      <c r="E119" s="1" t="s">
        <v>85</v>
      </c>
      <c r="F119" s="1" t="s">
        <v>73</v>
      </c>
      <c r="G119" s="1" t="s">
        <v>77</v>
      </c>
      <c r="H119" s="2">
        <f t="shared" si="6"/>
        <v>45928</v>
      </c>
      <c r="I119" s="1">
        <v>1200</v>
      </c>
    </row>
    <row r="120" spans="1:9" x14ac:dyDescent="0.3">
      <c r="A120" s="2">
        <v>45837</v>
      </c>
      <c r="B120" s="1">
        <v>4556</v>
      </c>
      <c r="C120" s="1" t="s">
        <v>35</v>
      </c>
      <c r="D120" s="1" t="s">
        <v>58</v>
      </c>
      <c r="E120" s="1" t="s">
        <v>90</v>
      </c>
      <c r="F120" s="1" t="s">
        <v>74</v>
      </c>
      <c r="G120" s="1" t="s">
        <v>78</v>
      </c>
      <c r="H120" s="2">
        <f t="shared" si="6"/>
        <v>45927</v>
      </c>
      <c r="I120" s="4">
        <v>9000</v>
      </c>
    </row>
    <row r="121" spans="1:9" x14ac:dyDescent="0.3">
      <c r="A121" s="2">
        <v>45836</v>
      </c>
      <c r="B121" s="1">
        <v>5667</v>
      </c>
      <c r="C121" s="1" t="s">
        <v>28</v>
      </c>
      <c r="D121" s="1" t="s">
        <v>84</v>
      </c>
      <c r="E121" s="1" t="s">
        <v>86</v>
      </c>
      <c r="F121" s="1" t="s">
        <v>75</v>
      </c>
      <c r="G121" s="1" t="s">
        <v>79</v>
      </c>
      <c r="H121" s="2">
        <f t="shared" si="6"/>
        <v>45926</v>
      </c>
      <c r="I121" s="1">
        <v>300</v>
      </c>
    </row>
    <row r="122" spans="1:9" x14ac:dyDescent="0.3">
      <c r="A122" s="2">
        <v>45839</v>
      </c>
      <c r="B122" s="1">
        <v>7889</v>
      </c>
      <c r="C122" s="1" t="s">
        <v>35</v>
      </c>
      <c r="D122" s="1" t="s">
        <v>84</v>
      </c>
      <c r="E122" s="1" t="s">
        <v>60</v>
      </c>
      <c r="F122" s="1" t="s">
        <v>66</v>
      </c>
      <c r="G122" s="1" t="s">
        <v>72</v>
      </c>
      <c r="H122" s="2">
        <f t="shared" si="6"/>
        <v>45929</v>
      </c>
      <c r="I122" s="1">
        <v>739</v>
      </c>
    </row>
    <row r="123" spans="1:9" x14ac:dyDescent="0.3">
      <c r="A123" s="2">
        <v>45838</v>
      </c>
      <c r="B123" s="1">
        <v>8991</v>
      </c>
      <c r="C123" s="1" t="s">
        <v>28</v>
      </c>
      <c r="D123" s="1" t="s">
        <v>84</v>
      </c>
      <c r="E123" s="1" t="s">
        <v>61</v>
      </c>
      <c r="F123" s="1" t="s">
        <v>67</v>
      </c>
      <c r="G123" s="1" t="s">
        <v>72</v>
      </c>
      <c r="H123" s="2">
        <f>A123+90</f>
        <v>45928</v>
      </c>
      <c r="I123" s="1">
        <v>2590</v>
      </c>
    </row>
    <row r="124" spans="1:9" x14ac:dyDescent="0.3">
      <c r="A124" s="2">
        <v>45837</v>
      </c>
      <c r="B124" s="1">
        <v>9002</v>
      </c>
      <c r="C124" s="1" t="s">
        <v>38</v>
      </c>
      <c r="D124" s="1" t="s">
        <v>84</v>
      </c>
      <c r="E124" s="1" t="s">
        <v>62</v>
      </c>
      <c r="F124" s="1" t="s">
        <v>68</v>
      </c>
      <c r="G124" s="1" t="s">
        <v>72</v>
      </c>
      <c r="H124" s="2">
        <f t="shared" si="6"/>
        <v>45927</v>
      </c>
      <c r="I124" s="1">
        <v>750</v>
      </c>
    </row>
    <row r="125" spans="1:9" x14ac:dyDescent="0.3">
      <c r="A125" s="2">
        <v>45836</v>
      </c>
      <c r="B125" s="1">
        <v>1224</v>
      </c>
      <c r="C125" s="1" t="s">
        <v>15</v>
      </c>
      <c r="D125" s="1" t="s">
        <v>84</v>
      </c>
      <c r="E125" s="1" t="s">
        <v>63</v>
      </c>
      <c r="F125" s="1" t="s">
        <v>69</v>
      </c>
      <c r="G125" s="1" t="s">
        <v>72</v>
      </c>
      <c r="H125" s="2">
        <f t="shared" si="6"/>
        <v>45926</v>
      </c>
      <c r="I125" s="1">
        <v>190</v>
      </c>
    </row>
    <row r="126" spans="1:9" x14ac:dyDescent="0.3">
      <c r="A126" s="2">
        <v>45840</v>
      </c>
      <c r="B126" s="1">
        <v>2335</v>
      </c>
      <c r="C126" s="1" t="s">
        <v>36</v>
      </c>
      <c r="D126" s="1" t="s">
        <v>84</v>
      </c>
      <c r="E126" s="1" t="s">
        <v>86</v>
      </c>
      <c r="F126" s="1" t="s">
        <v>70</v>
      </c>
      <c r="G126" s="1" t="s">
        <v>72</v>
      </c>
      <c r="H126" s="2">
        <f t="shared" si="6"/>
        <v>45930</v>
      </c>
      <c r="I126" s="1">
        <v>755</v>
      </c>
    </row>
    <row r="127" spans="1:9" x14ac:dyDescent="0.3">
      <c r="A127" s="2">
        <v>45839</v>
      </c>
      <c r="B127" s="1">
        <v>3446</v>
      </c>
      <c r="C127" s="1" t="s">
        <v>14</v>
      </c>
      <c r="D127" s="1" t="s">
        <v>85</v>
      </c>
      <c r="E127" s="1" t="s">
        <v>85</v>
      </c>
      <c r="F127" s="1" t="s">
        <v>73</v>
      </c>
      <c r="G127" s="1" t="s">
        <v>77</v>
      </c>
      <c r="H127" s="2">
        <f t="shared" si="6"/>
        <v>45929</v>
      </c>
      <c r="I127" s="1">
        <v>990</v>
      </c>
    </row>
    <row r="128" spans="1:9" x14ac:dyDescent="0.3">
      <c r="A128" s="2">
        <v>45837</v>
      </c>
      <c r="B128" s="1">
        <v>5668</v>
      </c>
      <c r="C128" s="1" t="s">
        <v>39</v>
      </c>
      <c r="D128" s="1" t="s">
        <v>84</v>
      </c>
      <c r="E128" s="1" t="s">
        <v>56</v>
      </c>
      <c r="F128" s="1" t="s">
        <v>75</v>
      </c>
      <c r="G128" s="1" t="s">
        <v>79</v>
      </c>
      <c r="H128" s="2">
        <f t="shared" si="6"/>
        <v>45927</v>
      </c>
      <c r="I128" s="1">
        <v>750</v>
      </c>
    </row>
    <row r="129" spans="1:9" x14ac:dyDescent="0.3">
      <c r="A129" s="2">
        <v>45836</v>
      </c>
      <c r="B129" s="1">
        <v>6779</v>
      </c>
      <c r="C129" s="1" t="s">
        <v>40</v>
      </c>
      <c r="D129" s="1" t="s">
        <v>57</v>
      </c>
      <c r="E129" s="1" t="s">
        <v>57</v>
      </c>
      <c r="F129" s="1" t="s">
        <v>76</v>
      </c>
      <c r="G129" s="1" t="s">
        <v>80</v>
      </c>
      <c r="H129" s="2">
        <f t="shared" si="6"/>
        <v>45926</v>
      </c>
      <c r="I129" s="1">
        <v>1190</v>
      </c>
    </row>
    <row r="130" spans="1:9" x14ac:dyDescent="0.3">
      <c r="A130" s="2">
        <v>45840</v>
      </c>
      <c r="B130" s="1">
        <v>7890</v>
      </c>
      <c r="C130" s="1" t="s">
        <v>10</v>
      </c>
      <c r="D130" s="1" t="s">
        <v>85</v>
      </c>
      <c r="E130" s="1" t="s">
        <v>85</v>
      </c>
      <c r="F130" s="1" t="s">
        <v>66</v>
      </c>
      <c r="G130" s="1" t="s">
        <v>72</v>
      </c>
      <c r="H130" s="2">
        <f t="shared" si="6"/>
        <v>45930</v>
      </c>
      <c r="I130" s="1">
        <v>680</v>
      </c>
    </row>
    <row r="131" spans="1:9" x14ac:dyDescent="0.3">
      <c r="A131" s="2">
        <v>45839</v>
      </c>
      <c r="B131" s="1">
        <v>8992</v>
      </c>
      <c r="C131" s="1" t="s">
        <v>5</v>
      </c>
      <c r="D131" s="1" t="s">
        <v>58</v>
      </c>
      <c r="E131" s="1" t="s">
        <v>87</v>
      </c>
      <c r="F131" s="1" t="s">
        <v>67</v>
      </c>
      <c r="G131" s="1" t="s">
        <v>72</v>
      </c>
      <c r="H131" s="2">
        <f t="shared" si="6"/>
        <v>45929</v>
      </c>
      <c r="I131" s="4">
        <v>700</v>
      </c>
    </row>
    <row r="132" spans="1:9" x14ac:dyDescent="0.3">
      <c r="A132" s="2">
        <v>45838</v>
      </c>
      <c r="B132" s="1">
        <v>9003</v>
      </c>
      <c r="C132" s="1" t="s">
        <v>27</v>
      </c>
      <c r="D132" s="1" t="s">
        <v>84</v>
      </c>
      <c r="E132" s="1" t="s">
        <v>86</v>
      </c>
      <c r="F132" s="1" t="s">
        <v>68</v>
      </c>
      <c r="G132" s="1" t="s">
        <v>72</v>
      </c>
      <c r="H132" s="2">
        <f t="shared" si="6"/>
        <v>45928</v>
      </c>
      <c r="I132" s="1">
        <v>950</v>
      </c>
    </row>
    <row r="133" spans="1:9" x14ac:dyDescent="0.3">
      <c r="A133" s="2">
        <v>45837</v>
      </c>
      <c r="B133" s="1">
        <v>1225</v>
      </c>
      <c r="C133" s="1" t="s">
        <v>27</v>
      </c>
      <c r="D133" s="1" t="s">
        <v>84</v>
      </c>
      <c r="E133" s="1" t="s">
        <v>59</v>
      </c>
      <c r="F133" s="1" t="s">
        <v>69</v>
      </c>
      <c r="G133" s="1" t="s">
        <v>72</v>
      </c>
      <c r="H133" s="2">
        <f t="shared" si="6"/>
        <v>45927</v>
      </c>
      <c r="I133" s="1">
        <v>2820</v>
      </c>
    </row>
    <row r="134" spans="1:9" x14ac:dyDescent="0.3">
      <c r="A134" s="2">
        <v>45836</v>
      </c>
      <c r="B134" s="1">
        <v>2336</v>
      </c>
      <c r="C134" s="1" t="s">
        <v>28</v>
      </c>
      <c r="D134" s="1" t="s">
        <v>84</v>
      </c>
      <c r="E134" s="1" t="s">
        <v>60</v>
      </c>
      <c r="F134" s="1" t="s">
        <v>70</v>
      </c>
      <c r="G134" s="1" t="s">
        <v>72</v>
      </c>
      <c r="H134" s="2">
        <f t="shared" si="6"/>
        <v>45926</v>
      </c>
      <c r="I134" s="1">
        <v>368</v>
      </c>
    </row>
    <row r="135" spans="1:9" x14ac:dyDescent="0.3">
      <c r="A135" s="2">
        <v>45840</v>
      </c>
      <c r="B135" s="1">
        <v>3447</v>
      </c>
      <c r="C135" s="1" t="s">
        <v>37</v>
      </c>
      <c r="D135" s="1" t="s">
        <v>84</v>
      </c>
      <c r="E135" s="1" t="s">
        <v>61</v>
      </c>
      <c r="F135" s="1" t="s">
        <v>73</v>
      </c>
      <c r="G135" s="1" t="s">
        <v>77</v>
      </c>
      <c r="H135" s="2">
        <f t="shared" si="6"/>
        <v>45930</v>
      </c>
      <c r="I135" s="1">
        <v>4600</v>
      </c>
    </row>
    <row r="136" spans="1:9" x14ac:dyDescent="0.3">
      <c r="A136" s="2">
        <v>45839</v>
      </c>
      <c r="B136" s="1">
        <v>4558</v>
      </c>
      <c r="C136" s="1" t="s">
        <v>5</v>
      </c>
      <c r="D136" s="1" t="s">
        <v>84</v>
      </c>
      <c r="E136" s="1" t="s">
        <v>62</v>
      </c>
      <c r="F136" s="1" t="s">
        <v>74</v>
      </c>
      <c r="G136" s="1" t="s">
        <v>78</v>
      </c>
      <c r="H136" s="2">
        <f t="shared" si="6"/>
        <v>45929</v>
      </c>
      <c r="I136" s="1">
        <v>1640</v>
      </c>
    </row>
    <row r="137" spans="1:9" x14ac:dyDescent="0.3">
      <c r="A137" s="2">
        <v>45838</v>
      </c>
      <c r="B137" s="1">
        <v>5669</v>
      </c>
      <c r="C137" s="1" t="s">
        <v>41</v>
      </c>
      <c r="D137" s="1" t="s">
        <v>84</v>
      </c>
      <c r="E137" s="1" t="s">
        <v>63</v>
      </c>
      <c r="F137" s="1" t="s">
        <v>75</v>
      </c>
      <c r="G137" s="1" t="s">
        <v>79</v>
      </c>
      <c r="H137" s="2">
        <f>A137+30</f>
        <v>45868</v>
      </c>
      <c r="I137" s="1">
        <v>2100</v>
      </c>
    </row>
    <row r="138" spans="1:9" x14ac:dyDescent="0.3">
      <c r="A138" s="2">
        <v>45837</v>
      </c>
      <c r="B138" s="1">
        <v>6780</v>
      </c>
      <c r="C138" s="1" t="s">
        <v>5</v>
      </c>
      <c r="D138" s="1" t="s">
        <v>84</v>
      </c>
      <c r="E138" s="1" t="s">
        <v>86</v>
      </c>
      <c r="F138" s="1" t="s">
        <v>76</v>
      </c>
      <c r="G138" s="1" t="s">
        <v>80</v>
      </c>
      <c r="H138" s="2">
        <f t="shared" ref="H138:H163" si="7">A138+30</f>
        <v>45867</v>
      </c>
      <c r="I138" s="1">
        <v>1017</v>
      </c>
    </row>
    <row r="139" spans="1:9" x14ac:dyDescent="0.3">
      <c r="A139" s="2">
        <v>45836</v>
      </c>
      <c r="B139" s="1">
        <v>7891</v>
      </c>
      <c r="C139" s="1" t="s">
        <v>27</v>
      </c>
      <c r="D139" s="1" t="s">
        <v>85</v>
      </c>
      <c r="E139" s="1" t="s">
        <v>85</v>
      </c>
      <c r="F139" s="1" t="s">
        <v>66</v>
      </c>
      <c r="G139" s="1" t="s">
        <v>72</v>
      </c>
      <c r="H139" s="2">
        <f t="shared" si="7"/>
        <v>45866</v>
      </c>
      <c r="I139" s="1">
        <v>630</v>
      </c>
    </row>
    <row r="140" spans="1:9" x14ac:dyDescent="0.3">
      <c r="A140" s="2">
        <v>45840</v>
      </c>
      <c r="B140" s="1">
        <v>8993</v>
      </c>
      <c r="C140" s="1" t="s">
        <v>42</v>
      </c>
      <c r="D140" s="1" t="s">
        <v>84</v>
      </c>
      <c r="E140" s="1" t="s">
        <v>55</v>
      </c>
      <c r="F140" s="1" t="s">
        <v>67</v>
      </c>
      <c r="G140" s="1" t="s">
        <v>72</v>
      </c>
      <c r="H140" s="2">
        <f t="shared" si="7"/>
        <v>45870</v>
      </c>
      <c r="I140" s="1">
        <v>410</v>
      </c>
    </row>
    <row r="141" spans="1:9" x14ac:dyDescent="0.3">
      <c r="A141" s="2">
        <v>45839</v>
      </c>
      <c r="B141" s="1">
        <v>9004</v>
      </c>
      <c r="C141" s="1" t="s">
        <v>10</v>
      </c>
      <c r="D141" s="1" t="s">
        <v>84</v>
      </c>
      <c r="E141" s="1" t="s">
        <v>56</v>
      </c>
      <c r="F141" s="1" t="s">
        <v>68</v>
      </c>
      <c r="G141" s="1" t="s">
        <v>72</v>
      </c>
      <c r="H141" s="2">
        <f t="shared" si="7"/>
        <v>45869</v>
      </c>
      <c r="I141" s="1">
        <v>4294</v>
      </c>
    </row>
    <row r="142" spans="1:9" x14ac:dyDescent="0.3">
      <c r="A142" s="2">
        <v>45838</v>
      </c>
      <c r="B142" s="1">
        <v>1226</v>
      </c>
      <c r="C142" s="1" t="s">
        <v>11</v>
      </c>
      <c r="D142" s="1" t="s">
        <v>57</v>
      </c>
      <c r="E142" s="1" t="s">
        <v>57</v>
      </c>
      <c r="F142" s="1" t="s">
        <v>69</v>
      </c>
      <c r="G142" s="1" t="s">
        <v>72</v>
      </c>
      <c r="H142" s="2">
        <f t="shared" si="7"/>
        <v>45868</v>
      </c>
      <c r="I142" s="1">
        <v>500</v>
      </c>
    </row>
    <row r="143" spans="1:9" x14ac:dyDescent="0.3">
      <c r="A143" s="2">
        <v>45837</v>
      </c>
      <c r="B143" s="1">
        <v>2337</v>
      </c>
      <c r="C143" s="1" t="s">
        <v>28</v>
      </c>
      <c r="D143" s="1" t="s">
        <v>85</v>
      </c>
      <c r="E143" s="1" t="s">
        <v>85</v>
      </c>
      <c r="F143" s="1" t="s">
        <v>70</v>
      </c>
      <c r="G143" s="1" t="s">
        <v>72</v>
      </c>
      <c r="H143" s="2">
        <f t="shared" si="7"/>
        <v>45867</v>
      </c>
      <c r="I143" s="1">
        <v>485</v>
      </c>
    </row>
    <row r="144" spans="1:9" x14ac:dyDescent="0.3">
      <c r="A144" s="2">
        <v>45840</v>
      </c>
      <c r="B144" s="1">
        <v>4559</v>
      </c>
      <c r="C144" s="1" t="s">
        <v>10</v>
      </c>
      <c r="D144" s="1" t="s">
        <v>84</v>
      </c>
      <c r="E144" s="1" t="s">
        <v>86</v>
      </c>
      <c r="F144" s="1" t="s">
        <v>74</v>
      </c>
      <c r="G144" s="1" t="s">
        <v>78</v>
      </c>
      <c r="H144" s="2">
        <f t="shared" si="7"/>
        <v>45870</v>
      </c>
      <c r="I144" s="1">
        <v>1400</v>
      </c>
    </row>
    <row r="145" spans="1:9" x14ac:dyDescent="0.3">
      <c r="A145" s="2">
        <v>45839</v>
      </c>
      <c r="B145" s="1">
        <v>5670</v>
      </c>
      <c r="C145" s="1" t="s">
        <v>15</v>
      </c>
      <c r="D145" s="1" t="s">
        <v>84</v>
      </c>
      <c r="E145" s="1" t="s">
        <v>59</v>
      </c>
      <c r="F145" s="1" t="s">
        <v>75</v>
      </c>
      <c r="G145" s="1" t="s">
        <v>79</v>
      </c>
      <c r="H145" s="2">
        <f t="shared" si="7"/>
        <v>45869</v>
      </c>
      <c r="I145" s="1">
        <v>680</v>
      </c>
    </row>
    <row r="146" spans="1:9" x14ac:dyDescent="0.3">
      <c r="A146" s="2">
        <v>45838</v>
      </c>
      <c r="B146" s="1">
        <v>6781</v>
      </c>
      <c r="C146" s="1" t="s">
        <v>43</v>
      </c>
      <c r="D146" s="1" t="s">
        <v>84</v>
      </c>
      <c r="E146" s="1" t="s">
        <v>60</v>
      </c>
      <c r="F146" s="1" t="s">
        <v>76</v>
      </c>
      <c r="G146" s="1" t="s">
        <v>80</v>
      </c>
      <c r="H146" s="2">
        <f t="shared" si="7"/>
        <v>45868</v>
      </c>
      <c r="I146" s="1">
        <v>392</v>
      </c>
    </row>
    <row r="147" spans="1:9" x14ac:dyDescent="0.3">
      <c r="A147" s="2">
        <v>45837</v>
      </c>
      <c r="B147" s="1">
        <v>7892</v>
      </c>
      <c r="C147" s="1" t="s">
        <v>10</v>
      </c>
      <c r="D147" s="1" t="s">
        <v>84</v>
      </c>
      <c r="E147" s="1" t="s">
        <v>61</v>
      </c>
      <c r="F147" s="1" t="s">
        <v>66</v>
      </c>
      <c r="G147" s="1" t="s">
        <v>72</v>
      </c>
      <c r="H147" s="2">
        <f t="shared" si="7"/>
        <v>45867</v>
      </c>
      <c r="I147" s="1">
        <v>5100</v>
      </c>
    </row>
    <row r="148" spans="1:9" x14ac:dyDescent="0.3">
      <c r="A148" s="2">
        <v>45840</v>
      </c>
      <c r="B148" s="1">
        <v>9005</v>
      </c>
      <c r="C148" s="1" t="s">
        <v>11</v>
      </c>
      <c r="D148" s="1" t="s">
        <v>84</v>
      </c>
      <c r="E148" s="1" t="s">
        <v>63</v>
      </c>
      <c r="F148" s="1" t="s">
        <v>68</v>
      </c>
      <c r="G148" s="1" t="s">
        <v>72</v>
      </c>
      <c r="H148" s="2">
        <f t="shared" si="7"/>
        <v>45870</v>
      </c>
      <c r="I148" s="1">
        <v>500</v>
      </c>
    </row>
    <row r="149" spans="1:9" x14ac:dyDescent="0.3">
      <c r="A149" s="2">
        <v>45839</v>
      </c>
      <c r="B149" s="1">
        <v>1227</v>
      </c>
      <c r="C149" s="1" t="s">
        <v>40</v>
      </c>
      <c r="D149" s="1" t="s">
        <v>84</v>
      </c>
      <c r="E149" s="1" t="s">
        <v>86</v>
      </c>
      <c r="F149" s="1" t="s">
        <v>69</v>
      </c>
      <c r="G149" s="1" t="s">
        <v>72</v>
      </c>
      <c r="H149" s="2">
        <f t="shared" si="7"/>
        <v>45869</v>
      </c>
      <c r="I149" s="1">
        <v>3100</v>
      </c>
    </row>
    <row r="150" spans="1:9" x14ac:dyDescent="0.3">
      <c r="A150" s="2">
        <v>45838</v>
      </c>
      <c r="B150" s="1">
        <v>2338</v>
      </c>
      <c r="C150" s="1" t="s">
        <v>2</v>
      </c>
      <c r="D150" s="1" t="s">
        <v>85</v>
      </c>
      <c r="E150" s="1" t="s">
        <v>85</v>
      </c>
      <c r="F150" s="1" t="s">
        <v>70</v>
      </c>
      <c r="G150" s="1" t="s">
        <v>72</v>
      </c>
      <c r="H150" s="2">
        <f t="shared" si="7"/>
        <v>45868</v>
      </c>
      <c r="I150" s="1">
        <v>450</v>
      </c>
    </row>
    <row r="151" spans="1:9" x14ac:dyDescent="0.3">
      <c r="A151" s="2">
        <v>45837</v>
      </c>
      <c r="B151" s="1">
        <v>3449</v>
      </c>
      <c r="C151" s="1" t="s">
        <v>2</v>
      </c>
      <c r="D151" s="1" t="s">
        <v>84</v>
      </c>
      <c r="E151" s="1" t="s">
        <v>55</v>
      </c>
      <c r="F151" s="1" t="s">
        <v>73</v>
      </c>
      <c r="G151" s="1" t="s">
        <v>77</v>
      </c>
      <c r="H151" s="2">
        <f t="shared" si="7"/>
        <v>45867</v>
      </c>
      <c r="I151" s="1">
        <v>570</v>
      </c>
    </row>
    <row r="152" spans="1:9" x14ac:dyDescent="0.3">
      <c r="A152" s="2">
        <v>45836</v>
      </c>
      <c r="B152" s="1">
        <v>4560</v>
      </c>
      <c r="C152" s="1" t="s">
        <v>3</v>
      </c>
      <c r="D152" s="1" t="s">
        <v>84</v>
      </c>
      <c r="E152" s="1" t="s">
        <v>56</v>
      </c>
      <c r="F152" s="1" t="s">
        <v>74</v>
      </c>
      <c r="G152" s="1" t="s">
        <v>78</v>
      </c>
      <c r="H152" s="2">
        <f t="shared" si="7"/>
        <v>45866</v>
      </c>
      <c r="I152" s="1">
        <v>560</v>
      </c>
    </row>
    <row r="153" spans="1:9" x14ac:dyDescent="0.3">
      <c r="A153" s="2">
        <v>45840</v>
      </c>
      <c r="B153" s="1">
        <v>5671</v>
      </c>
      <c r="C153" s="1" t="s">
        <v>3</v>
      </c>
      <c r="D153" s="1" t="s">
        <v>57</v>
      </c>
      <c r="E153" s="1" t="s">
        <v>57</v>
      </c>
      <c r="F153" s="1" t="s">
        <v>75</v>
      </c>
      <c r="G153" s="1" t="s">
        <v>79</v>
      </c>
      <c r="H153" s="2">
        <f t="shared" si="7"/>
        <v>45870</v>
      </c>
      <c r="I153" s="1">
        <v>1200</v>
      </c>
    </row>
    <row r="154" spans="1:9" x14ac:dyDescent="0.3">
      <c r="A154" s="2">
        <v>45839</v>
      </c>
      <c r="B154" s="1">
        <v>6782</v>
      </c>
      <c r="C154" s="1" t="s">
        <v>7</v>
      </c>
      <c r="D154" s="1" t="s">
        <v>85</v>
      </c>
      <c r="E154" s="1" t="s">
        <v>85</v>
      </c>
      <c r="F154" s="1" t="s">
        <v>76</v>
      </c>
      <c r="G154" s="1" t="s">
        <v>80</v>
      </c>
      <c r="H154" s="2">
        <f t="shared" si="7"/>
        <v>45869</v>
      </c>
      <c r="I154" s="1">
        <v>870</v>
      </c>
    </row>
    <row r="155" spans="1:9" x14ac:dyDescent="0.3">
      <c r="A155" s="2">
        <v>45838</v>
      </c>
      <c r="B155" s="1">
        <v>7893</v>
      </c>
      <c r="C155" s="1" t="s">
        <v>15</v>
      </c>
      <c r="D155" s="1" t="s">
        <v>58</v>
      </c>
      <c r="E155" s="1" t="s">
        <v>89</v>
      </c>
      <c r="F155" s="1" t="s">
        <v>66</v>
      </c>
      <c r="G155" s="1" t="s">
        <v>72</v>
      </c>
      <c r="H155" s="2">
        <f t="shared" si="7"/>
        <v>45868</v>
      </c>
      <c r="I155" s="4">
        <v>1084.8</v>
      </c>
    </row>
    <row r="156" spans="1:9" x14ac:dyDescent="0.3">
      <c r="A156" s="2">
        <v>45836</v>
      </c>
      <c r="B156" s="1">
        <v>9006</v>
      </c>
      <c r="C156" s="1" t="s">
        <v>44</v>
      </c>
      <c r="D156" s="1" t="s">
        <v>84</v>
      </c>
      <c r="E156" s="1" t="s">
        <v>59</v>
      </c>
      <c r="F156" s="1" t="s">
        <v>68</v>
      </c>
      <c r="G156" s="1" t="s">
        <v>72</v>
      </c>
      <c r="H156" s="2">
        <f t="shared" si="7"/>
        <v>45866</v>
      </c>
      <c r="I156" s="1">
        <v>1860</v>
      </c>
    </row>
    <row r="157" spans="1:9" x14ac:dyDescent="0.3">
      <c r="A157" s="2">
        <v>45840</v>
      </c>
      <c r="B157" s="1">
        <v>9017</v>
      </c>
      <c r="C157" s="1" t="s">
        <v>14</v>
      </c>
      <c r="D157" s="1" t="s">
        <v>84</v>
      </c>
      <c r="E157" s="1" t="s">
        <v>60</v>
      </c>
      <c r="F157" s="1" t="s">
        <v>69</v>
      </c>
      <c r="G157" s="1" t="s">
        <v>72</v>
      </c>
      <c r="H157" s="2">
        <f>A157+30</f>
        <v>45870</v>
      </c>
      <c r="I157" s="1">
        <v>2130</v>
      </c>
    </row>
    <row r="158" spans="1:9" x14ac:dyDescent="0.3">
      <c r="A158" s="2">
        <v>45839</v>
      </c>
      <c r="B158" s="1">
        <v>9028</v>
      </c>
      <c r="C158" s="1" t="s">
        <v>28</v>
      </c>
      <c r="D158" s="1" t="s">
        <v>84</v>
      </c>
      <c r="E158" s="1" t="s">
        <v>61</v>
      </c>
      <c r="F158" s="1" t="s">
        <v>70</v>
      </c>
      <c r="G158" s="1" t="s">
        <v>72</v>
      </c>
      <c r="H158" s="2">
        <f t="shared" si="7"/>
        <v>45869</v>
      </c>
      <c r="I158" s="1">
        <v>3620</v>
      </c>
    </row>
    <row r="159" spans="1:9" x14ac:dyDescent="0.3">
      <c r="A159" s="2">
        <v>45838</v>
      </c>
      <c r="B159" s="1">
        <v>9039</v>
      </c>
      <c r="C159" s="1" t="s">
        <v>45</v>
      </c>
      <c r="D159" s="1" t="s">
        <v>84</v>
      </c>
      <c r="E159" s="1" t="s">
        <v>62</v>
      </c>
      <c r="F159" s="1" t="s">
        <v>73</v>
      </c>
      <c r="G159" s="1" t="s">
        <v>77</v>
      </c>
      <c r="H159" s="2">
        <f t="shared" si="7"/>
        <v>45868</v>
      </c>
      <c r="I159" s="1">
        <v>4060</v>
      </c>
    </row>
    <row r="160" spans="1:9" x14ac:dyDescent="0.3">
      <c r="A160" s="2">
        <v>45837</v>
      </c>
      <c r="B160" s="1">
        <v>9050</v>
      </c>
      <c r="C160" s="1" t="s">
        <v>2</v>
      </c>
      <c r="D160" s="1" t="s">
        <v>84</v>
      </c>
      <c r="E160" s="1" t="s">
        <v>63</v>
      </c>
      <c r="F160" s="1" t="s">
        <v>74</v>
      </c>
      <c r="G160" s="1" t="s">
        <v>78</v>
      </c>
      <c r="H160" s="2">
        <f t="shared" si="7"/>
        <v>45867</v>
      </c>
      <c r="I160" s="1">
        <v>770</v>
      </c>
    </row>
    <row r="161" spans="1:9" x14ac:dyDescent="0.3">
      <c r="A161" s="2">
        <v>45836</v>
      </c>
      <c r="B161" s="1">
        <v>9061</v>
      </c>
      <c r="C161" s="1" t="s">
        <v>46</v>
      </c>
      <c r="D161" s="1" t="s">
        <v>84</v>
      </c>
      <c r="E161" s="1" t="s">
        <v>86</v>
      </c>
      <c r="F161" s="1" t="s">
        <v>75</v>
      </c>
      <c r="G161" s="1" t="s">
        <v>79</v>
      </c>
      <c r="H161" s="2">
        <f t="shared" si="7"/>
        <v>45866</v>
      </c>
      <c r="I161" s="1">
        <v>4068</v>
      </c>
    </row>
    <row r="162" spans="1:9" x14ac:dyDescent="0.3">
      <c r="A162" s="2">
        <v>45840</v>
      </c>
      <c r="B162" s="1">
        <v>9072</v>
      </c>
      <c r="C162" s="1" t="s">
        <v>47</v>
      </c>
      <c r="D162" s="1" t="s">
        <v>85</v>
      </c>
      <c r="E162" s="1" t="s">
        <v>85</v>
      </c>
      <c r="F162" s="1" t="s">
        <v>76</v>
      </c>
      <c r="G162" s="1" t="s">
        <v>80</v>
      </c>
      <c r="H162" s="2">
        <f t="shared" si="7"/>
        <v>45870</v>
      </c>
      <c r="I162" s="1">
        <v>310</v>
      </c>
    </row>
    <row r="163" spans="1:9" x14ac:dyDescent="0.3">
      <c r="A163" s="2">
        <v>45839</v>
      </c>
      <c r="B163" s="1">
        <v>9083</v>
      </c>
      <c r="C163" s="1" t="s">
        <v>48</v>
      </c>
      <c r="D163" s="1" t="s">
        <v>84</v>
      </c>
      <c r="E163" s="1" t="s">
        <v>55</v>
      </c>
      <c r="F163" s="1" t="s">
        <v>66</v>
      </c>
      <c r="G163" s="1" t="s">
        <v>72</v>
      </c>
      <c r="H163" s="2">
        <f t="shared" si="7"/>
        <v>45869</v>
      </c>
      <c r="I163" s="1">
        <v>2800</v>
      </c>
    </row>
    <row r="164" spans="1:9" x14ac:dyDescent="0.3">
      <c r="A164" s="2">
        <v>45838</v>
      </c>
      <c r="B164" s="1">
        <v>9094</v>
      </c>
      <c r="C164" s="1" t="s">
        <v>4</v>
      </c>
      <c r="D164" s="1" t="s">
        <v>84</v>
      </c>
      <c r="E164" s="1" t="s">
        <v>56</v>
      </c>
      <c r="F164" s="1" t="s">
        <v>67</v>
      </c>
      <c r="G164" s="1" t="s">
        <v>72</v>
      </c>
      <c r="H164" s="2">
        <f t="shared" ref="H164:H181" si="8">A164+60</f>
        <v>45898</v>
      </c>
      <c r="I164" s="1">
        <v>226</v>
      </c>
    </row>
    <row r="165" spans="1:9" x14ac:dyDescent="0.3">
      <c r="A165" s="2">
        <v>45837</v>
      </c>
      <c r="B165" s="1">
        <v>9105</v>
      </c>
      <c r="C165" s="1" t="s">
        <v>4</v>
      </c>
      <c r="D165" s="1" t="s">
        <v>57</v>
      </c>
      <c r="E165" s="1" t="s">
        <v>57</v>
      </c>
      <c r="F165" s="1" t="s">
        <v>68</v>
      </c>
      <c r="G165" s="1" t="s">
        <v>72</v>
      </c>
      <c r="H165" s="2">
        <f t="shared" si="8"/>
        <v>45897</v>
      </c>
      <c r="I165" s="1">
        <v>240</v>
      </c>
    </row>
    <row r="166" spans="1:9" x14ac:dyDescent="0.3">
      <c r="A166" s="2">
        <v>45836</v>
      </c>
      <c r="B166" s="1">
        <v>9116</v>
      </c>
      <c r="C166" s="1" t="s">
        <v>2</v>
      </c>
      <c r="D166" s="1" t="s">
        <v>85</v>
      </c>
      <c r="E166" s="1" t="s">
        <v>85</v>
      </c>
      <c r="F166" s="1" t="s">
        <v>69</v>
      </c>
      <c r="G166" s="1" t="s">
        <v>72</v>
      </c>
      <c r="H166" s="2">
        <f t="shared" si="8"/>
        <v>45896</v>
      </c>
      <c r="I166" s="1">
        <v>240</v>
      </c>
    </row>
    <row r="167" spans="1:9" x14ac:dyDescent="0.3">
      <c r="A167" s="2">
        <v>45840</v>
      </c>
      <c r="B167" s="1">
        <v>9127</v>
      </c>
      <c r="C167" s="1" t="s">
        <v>2</v>
      </c>
      <c r="D167" s="1" t="s">
        <v>58</v>
      </c>
      <c r="E167" s="1" t="s">
        <v>87</v>
      </c>
      <c r="F167" s="1" t="s">
        <v>70</v>
      </c>
      <c r="G167" s="1" t="s">
        <v>72</v>
      </c>
      <c r="H167" s="2">
        <f t="shared" si="8"/>
        <v>45900</v>
      </c>
      <c r="I167" s="4">
        <v>550</v>
      </c>
    </row>
    <row r="168" spans="1:9" x14ac:dyDescent="0.3">
      <c r="A168" s="2">
        <v>45839</v>
      </c>
      <c r="B168" s="1">
        <v>9138</v>
      </c>
      <c r="C168" s="1" t="s">
        <v>2</v>
      </c>
      <c r="D168" s="1" t="s">
        <v>84</v>
      </c>
      <c r="E168" s="1" t="s">
        <v>86</v>
      </c>
      <c r="F168" s="1" t="s">
        <v>73</v>
      </c>
      <c r="G168" s="1" t="s">
        <v>77</v>
      </c>
      <c r="H168" s="2">
        <f t="shared" si="8"/>
        <v>45899</v>
      </c>
      <c r="I168" s="1">
        <v>600</v>
      </c>
    </row>
    <row r="169" spans="1:9" x14ac:dyDescent="0.3">
      <c r="A169" s="2">
        <v>45837</v>
      </c>
      <c r="B169" s="1">
        <v>9160</v>
      </c>
      <c r="C169" s="1" t="s">
        <v>49</v>
      </c>
      <c r="D169" s="1" t="s">
        <v>84</v>
      </c>
      <c r="E169" s="1" t="s">
        <v>60</v>
      </c>
      <c r="F169" s="1" t="s">
        <v>75</v>
      </c>
      <c r="G169" s="1" t="s">
        <v>79</v>
      </c>
      <c r="H169" s="2">
        <f t="shared" si="8"/>
        <v>45897</v>
      </c>
      <c r="I169" s="1">
        <v>310</v>
      </c>
    </row>
    <row r="170" spans="1:9" x14ac:dyDescent="0.3">
      <c r="A170" s="2">
        <v>45836</v>
      </c>
      <c r="B170" s="1">
        <v>9171</v>
      </c>
      <c r="C170" s="1" t="s">
        <v>5</v>
      </c>
      <c r="D170" s="1" t="s">
        <v>84</v>
      </c>
      <c r="E170" s="1" t="s">
        <v>61</v>
      </c>
      <c r="F170" s="1" t="s">
        <v>76</v>
      </c>
      <c r="G170" s="1" t="s">
        <v>80</v>
      </c>
      <c r="H170" s="2">
        <f t="shared" si="8"/>
        <v>45896</v>
      </c>
      <c r="I170" s="1">
        <v>5800</v>
      </c>
    </row>
    <row r="171" spans="1:9" x14ac:dyDescent="0.3">
      <c r="A171" s="2">
        <v>45840</v>
      </c>
      <c r="B171" s="1">
        <v>9182</v>
      </c>
      <c r="C171" s="1" t="s">
        <v>4</v>
      </c>
      <c r="D171" s="1" t="s">
        <v>84</v>
      </c>
      <c r="E171" s="1" t="s">
        <v>62</v>
      </c>
      <c r="F171" s="1" t="s">
        <v>66</v>
      </c>
      <c r="G171" s="1" t="s">
        <v>72</v>
      </c>
      <c r="H171" s="2">
        <f t="shared" si="8"/>
        <v>45900</v>
      </c>
      <c r="I171" s="1">
        <v>8000</v>
      </c>
    </row>
    <row r="172" spans="1:9" x14ac:dyDescent="0.3">
      <c r="A172" s="2">
        <v>45839</v>
      </c>
      <c r="B172" s="1">
        <v>9193</v>
      </c>
      <c r="C172" s="1" t="s">
        <v>3</v>
      </c>
      <c r="D172" s="1" t="s">
        <v>84</v>
      </c>
      <c r="E172" s="1" t="s">
        <v>63</v>
      </c>
      <c r="F172" s="1" t="s">
        <v>67</v>
      </c>
      <c r="G172" s="1" t="s">
        <v>72</v>
      </c>
      <c r="H172" s="2">
        <f t="shared" si="8"/>
        <v>45899</v>
      </c>
      <c r="I172" s="1">
        <v>8400</v>
      </c>
    </row>
    <row r="173" spans="1:9" x14ac:dyDescent="0.3">
      <c r="A173" s="2">
        <v>45838</v>
      </c>
      <c r="B173" s="1">
        <v>9204</v>
      </c>
      <c r="C173" s="1" t="s">
        <v>11</v>
      </c>
      <c r="D173" s="1" t="s">
        <v>84</v>
      </c>
      <c r="E173" s="1" t="s">
        <v>86</v>
      </c>
      <c r="F173" s="1" t="s">
        <v>68</v>
      </c>
      <c r="G173" s="1" t="s">
        <v>72</v>
      </c>
      <c r="H173" s="2">
        <f t="shared" si="8"/>
        <v>45898</v>
      </c>
      <c r="I173" s="1">
        <v>3440</v>
      </c>
    </row>
    <row r="174" spans="1:9" x14ac:dyDescent="0.3">
      <c r="A174" s="2">
        <v>45837</v>
      </c>
      <c r="B174" s="1">
        <v>9215</v>
      </c>
      <c r="C174" s="1" t="s">
        <v>50</v>
      </c>
      <c r="D174" s="1" t="s">
        <v>85</v>
      </c>
      <c r="E174" s="1" t="s">
        <v>85</v>
      </c>
      <c r="F174" s="1" t="s">
        <v>69</v>
      </c>
      <c r="G174" s="1" t="s">
        <v>72</v>
      </c>
      <c r="H174" s="2">
        <f t="shared" si="8"/>
        <v>45897</v>
      </c>
      <c r="I174" s="1">
        <v>450</v>
      </c>
    </row>
    <row r="175" spans="1:9" x14ac:dyDescent="0.3">
      <c r="A175" s="2">
        <v>45840</v>
      </c>
      <c r="B175" s="1">
        <v>9237</v>
      </c>
      <c r="C175" s="1" t="s">
        <v>38</v>
      </c>
      <c r="D175" s="1" t="s">
        <v>84</v>
      </c>
      <c r="E175" s="1" t="s">
        <v>56</v>
      </c>
      <c r="F175" s="1" t="s">
        <v>73</v>
      </c>
      <c r="G175" s="1" t="s">
        <v>77</v>
      </c>
      <c r="H175" s="2">
        <f t="shared" si="8"/>
        <v>45900</v>
      </c>
      <c r="I175" s="1">
        <v>780</v>
      </c>
    </row>
    <row r="176" spans="1:9" x14ac:dyDescent="0.3">
      <c r="A176" s="2">
        <v>45839</v>
      </c>
      <c r="B176" s="1">
        <v>9248</v>
      </c>
      <c r="C176" s="1" t="s">
        <v>28</v>
      </c>
      <c r="D176" s="1" t="s">
        <v>57</v>
      </c>
      <c r="E176" s="1" t="s">
        <v>57</v>
      </c>
      <c r="F176" s="1" t="s">
        <v>74</v>
      </c>
      <c r="G176" s="1" t="s">
        <v>78</v>
      </c>
      <c r="H176" s="2">
        <f t="shared" si="8"/>
        <v>45899</v>
      </c>
      <c r="I176" s="1">
        <v>280</v>
      </c>
    </row>
    <row r="177" spans="1:9" x14ac:dyDescent="0.3">
      <c r="A177" s="2">
        <v>45838</v>
      </c>
      <c r="B177" s="1">
        <v>9259</v>
      </c>
      <c r="C177" s="1" t="s">
        <v>4</v>
      </c>
      <c r="D177" s="1" t="s">
        <v>85</v>
      </c>
      <c r="E177" s="1" t="s">
        <v>85</v>
      </c>
      <c r="F177" s="1" t="s">
        <v>75</v>
      </c>
      <c r="G177" s="1" t="s">
        <v>79</v>
      </c>
      <c r="H177" s="2">
        <f t="shared" si="8"/>
        <v>45898</v>
      </c>
      <c r="I177" s="1">
        <v>1500</v>
      </c>
    </row>
    <row r="178" spans="1:9" x14ac:dyDescent="0.3">
      <c r="A178" s="2">
        <v>45837</v>
      </c>
      <c r="B178" s="1">
        <v>9270</v>
      </c>
      <c r="C178" s="1" t="s">
        <v>51</v>
      </c>
      <c r="D178" s="1" t="s">
        <v>58</v>
      </c>
      <c r="E178" s="1" t="s">
        <v>87</v>
      </c>
      <c r="F178" s="1" t="s">
        <v>76</v>
      </c>
      <c r="G178" s="1" t="s">
        <v>80</v>
      </c>
      <c r="H178" s="2">
        <f t="shared" si="8"/>
        <v>45897</v>
      </c>
      <c r="I178" s="4">
        <v>10000</v>
      </c>
    </row>
    <row r="179" spans="1:9" x14ac:dyDescent="0.3">
      <c r="A179" s="2">
        <v>45836</v>
      </c>
      <c r="B179" s="1">
        <v>9281</v>
      </c>
      <c r="C179" s="1" t="s">
        <v>47</v>
      </c>
      <c r="D179" s="1" t="s">
        <v>84</v>
      </c>
      <c r="E179" s="1" t="s">
        <v>86</v>
      </c>
      <c r="F179" s="1" t="s">
        <v>66</v>
      </c>
      <c r="G179" s="1" t="s">
        <v>72</v>
      </c>
      <c r="H179" s="2">
        <f t="shared" si="8"/>
        <v>45896</v>
      </c>
      <c r="I179" s="1">
        <v>1370</v>
      </c>
    </row>
    <row r="180" spans="1:9" x14ac:dyDescent="0.3">
      <c r="A180" s="2">
        <v>45840</v>
      </c>
      <c r="B180" s="1">
        <v>9292</v>
      </c>
      <c r="C180" s="1" t="s">
        <v>52</v>
      </c>
      <c r="D180" s="1" t="s">
        <v>84</v>
      </c>
      <c r="E180" s="1" t="s">
        <v>59</v>
      </c>
      <c r="F180" s="1" t="s">
        <v>67</v>
      </c>
      <c r="G180" s="1" t="s">
        <v>72</v>
      </c>
      <c r="H180" s="2">
        <f t="shared" si="8"/>
        <v>45900</v>
      </c>
      <c r="I180" s="1">
        <v>2570</v>
      </c>
    </row>
    <row r="181" spans="1:9" x14ac:dyDescent="0.3">
      <c r="A181" s="2">
        <v>45839</v>
      </c>
      <c r="B181" s="1">
        <v>9303</v>
      </c>
      <c r="C181" s="1" t="s">
        <v>10</v>
      </c>
      <c r="D181" s="1" t="s">
        <v>84</v>
      </c>
      <c r="E181" s="1" t="s">
        <v>60</v>
      </c>
      <c r="F181" s="1" t="s">
        <v>68</v>
      </c>
      <c r="G181" s="1" t="s">
        <v>72</v>
      </c>
      <c r="H181" s="2">
        <f t="shared" si="8"/>
        <v>45899</v>
      </c>
      <c r="I181" s="1">
        <v>3164</v>
      </c>
    </row>
    <row r="182" spans="1:9" x14ac:dyDescent="0.3">
      <c r="A182" s="2">
        <v>45837</v>
      </c>
      <c r="B182" s="1">
        <v>9325</v>
      </c>
      <c r="C182" s="1" t="s">
        <v>5</v>
      </c>
      <c r="D182" s="1" t="s">
        <v>84</v>
      </c>
      <c r="E182" s="1" t="s">
        <v>62</v>
      </c>
      <c r="F182" s="1" t="s">
        <v>70</v>
      </c>
      <c r="G182" s="1" t="s">
        <v>72</v>
      </c>
      <c r="H182" s="2">
        <f>A182+120</f>
        <v>45957</v>
      </c>
      <c r="I182" s="1">
        <v>2300</v>
      </c>
    </row>
    <row r="183" spans="1:9" x14ac:dyDescent="0.3">
      <c r="A183" s="2">
        <v>45836</v>
      </c>
      <c r="B183" s="1">
        <v>9336</v>
      </c>
      <c r="C183" s="1" t="s">
        <v>5</v>
      </c>
      <c r="D183" s="1" t="s">
        <v>84</v>
      </c>
      <c r="E183" s="1" t="s">
        <v>63</v>
      </c>
      <c r="F183" s="1" t="s">
        <v>73</v>
      </c>
      <c r="G183" s="1" t="s">
        <v>77</v>
      </c>
      <c r="H183" s="2">
        <f t="shared" ref="H183:H194" si="9">A183+120</f>
        <v>45956</v>
      </c>
      <c r="I183" s="1">
        <v>610</v>
      </c>
    </row>
    <row r="184" spans="1:9" x14ac:dyDescent="0.3">
      <c r="A184" s="2">
        <v>45840</v>
      </c>
      <c r="B184" s="1">
        <v>9347</v>
      </c>
      <c r="C184" s="1" t="s">
        <v>5</v>
      </c>
      <c r="D184" s="1" t="s">
        <v>84</v>
      </c>
      <c r="E184" s="1" t="s">
        <v>86</v>
      </c>
      <c r="F184" s="1" t="s">
        <v>74</v>
      </c>
      <c r="G184" s="1" t="s">
        <v>78</v>
      </c>
      <c r="H184" s="2">
        <f t="shared" si="9"/>
        <v>45960</v>
      </c>
      <c r="I184" s="1">
        <v>1400</v>
      </c>
    </row>
    <row r="185" spans="1:9" x14ac:dyDescent="0.3">
      <c r="A185" s="2">
        <v>45838</v>
      </c>
      <c r="B185" s="1">
        <v>9369</v>
      </c>
      <c r="C185" s="1" t="s">
        <v>28</v>
      </c>
      <c r="D185" s="1" t="s">
        <v>84</v>
      </c>
      <c r="E185" s="1" t="s">
        <v>55</v>
      </c>
      <c r="F185" s="1" t="s">
        <v>76</v>
      </c>
      <c r="G185" s="1" t="s">
        <v>80</v>
      </c>
      <c r="H185" s="2">
        <f t="shared" si="9"/>
        <v>45958</v>
      </c>
      <c r="I185" s="1">
        <v>1920</v>
      </c>
    </row>
    <row r="186" spans="1:9" x14ac:dyDescent="0.3">
      <c r="A186" s="2">
        <v>45837</v>
      </c>
      <c r="B186" s="1">
        <v>9380</v>
      </c>
      <c r="C186" s="1" t="s">
        <v>53</v>
      </c>
      <c r="D186" s="1" t="s">
        <v>84</v>
      </c>
      <c r="E186" s="1" t="s">
        <v>56</v>
      </c>
      <c r="F186" s="1" t="s">
        <v>66</v>
      </c>
      <c r="G186" s="1" t="s">
        <v>72</v>
      </c>
      <c r="H186" s="2">
        <f t="shared" si="9"/>
        <v>45957</v>
      </c>
      <c r="I186" s="1">
        <v>280</v>
      </c>
    </row>
    <row r="187" spans="1:9" x14ac:dyDescent="0.3">
      <c r="A187" s="2">
        <v>45836</v>
      </c>
      <c r="B187" s="1">
        <v>9391</v>
      </c>
      <c r="C187" s="1" t="s">
        <v>53</v>
      </c>
      <c r="D187" s="1" t="s">
        <v>57</v>
      </c>
      <c r="E187" s="1" t="s">
        <v>57</v>
      </c>
      <c r="F187" s="1" t="s">
        <v>67</v>
      </c>
      <c r="G187" s="1" t="s">
        <v>72</v>
      </c>
      <c r="H187" s="2">
        <f t="shared" si="9"/>
        <v>45956</v>
      </c>
      <c r="I187" s="1">
        <v>500</v>
      </c>
    </row>
    <row r="188" spans="1:9" x14ac:dyDescent="0.3">
      <c r="A188" s="2">
        <v>45840</v>
      </c>
      <c r="B188" s="1">
        <v>9402</v>
      </c>
      <c r="C188" s="1" t="s">
        <v>6</v>
      </c>
      <c r="D188" s="1" t="s">
        <v>85</v>
      </c>
      <c r="E188" s="1" t="s">
        <v>85</v>
      </c>
      <c r="F188" s="1" t="s">
        <v>68</v>
      </c>
      <c r="G188" s="1" t="s">
        <v>72</v>
      </c>
      <c r="H188" s="2">
        <f t="shared" si="9"/>
        <v>45960</v>
      </c>
      <c r="I188" s="1">
        <v>1090</v>
      </c>
    </row>
    <row r="189" spans="1:9" x14ac:dyDescent="0.3">
      <c r="A189" s="2">
        <v>45839</v>
      </c>
      <c r="B189" s="1">
        <v>9413</v>
      </c>
      <c r="C189" s="1" t="s">
        <v>2</v>
      </c>
      <c r="D189" s="1" t="s">
        <v>58</v>
      </c>
      <c r="E189" s="1" t="s">
        <v>87</v>
      </c>
      <c r="F189" s="1" t="s">
        <v>69</v>
      </c>
      <c r="G189" s="1" t="s">
        <v>72</v>
      </c>
      <c r="H189" s="2">
        <f t="shared" si="9"/>
        <v>45959</v>
      </c>
      <c r="I189" s="4">
        <v>597.57159999999999</v>
      </c>
    </row>
    <row r="190" spans="1:9" x14ac:dyDescent="0.3">
      <c r="A190" s="2">
        <v>45838</v>
      </c>
      <c r="B190" s="1">
        <v>9424</v>
      </c>
      <c r="C190" s="1" t="s">
        <v>4</v>
      </c>
      <c r="D190" s="1" t="s">
        <v>84</v>
      </c>
      <c r="E190" s="1" t="s">
        <v>86</v>
      </c>
      <c r="F190" s="1" t="s">
        <v>70</v>
      </c>
      <c r="G190" s="1" t="s">
        <v>72</v>
      </c>
      <c r="H190" s="2">
        <f t="shared" si="9"/>
        <v>45958</v>
      </c>
      <c r="I190" s="1">
        <v>3700</v>
      </c>
    </row>
    <row r="191" spans="1:9" x14ac:dyDescent="0.3">
      <c r="A191" s="2">
        <v>45837</v>
      </c>
      <c r="B191" s="1">
        <v>9435</v>
      </c>
      <c r="C191" s="1" t="s">
        <v>54</v>
      </c>
      <c r="D191" s="1" t="s">
        <v>84</v>
      </c>
      <c r="E191" s="1" t="s">
        <v>59</v>
      </c>
      <c r="F191" s="1" t="s">
        <v>73</v>
      </c>
      <c r="G191" s="1" t="s">
        <v>77</v>
      </c>
      <c r="H191" s="2">
        <f t="shared" si="9"/>
        <v>45957</v>
      </c>
      <c r="I191" s="1">
        <v>3640</v>
      </c>
    </row>
    <row r="192" spans="1:9" x14ac:dyDescent="0.3">
      <c r="A192" s="2">
        <v>45836</v>
      </c>
      <c r="B192" s="1">
        <v>9446</v>
      </c>
      <c r="C192" s="1" t="s">
        <v>40</v>
      </c>
      <c r="D192" s="1" t="s">
        <v>84</v>
      </c>
      <c r="E192" s="1" t="s">
        <v>60</v>
      </c>
      <c r="F192" s="1" t="s">
        <v>74</v>
      </c>
      <c r="G192" s="1" t="s">
        <v>78</v>
      </c>
      <c r="H192" s="2">
        <f t="shared" si="9"/>
        <v>45956</v>
      </c>
      <c r="I192" s="1">
        <v>3280</v>
      </c>
    </row>
    <row r="193" spans="1:9" x14ac:dyDescent="0.3">
      <c r="A193" s="2">
        <v>45840</v>
      </c>
      <c r="B193" s="1">
        <v>9457</v>
      </c>
      <c r="C193" s="1" t="s">
        <v>28</v>
      </c>
      <c r="D193" s="1" t="s">
        <v>84</v>
      </c>
      <c r="E193" s="1" t="s">
        <v>61</v>
      </c>
      <c r="F193" s="1" t="s">
        <v>75</v>
      </c>
      <c r="G193" s="1" t="s">
        <v>79</v>
      </c>
      <c r="H193" s="2">
        <f t="shared" si="9"/>
        <v>45960</v>
      </c>
      <c r="I193" s="1">
        <v>3080</v>
      </c>
    </row>
    <row r="194" spans="1:9" x14ac:dyDescent="0.3">
      <c r="A194" s="2">
        <v>45837</v>
      </c>
      <c r="B194" s="1">
        <v>9490</v>
      </c>
      <c r="C194" s="1" t="s">
        <v>4</v>
      </c>
      <c r="D194" s="1" t="s">
        <v>84</v>
      </c>
      <c r="E194" s="1" t="s">
        <v>86</v>
      </c>
      <c r="F194" s="1" t="s">
        <v>67</v>
      </c>
      <c r="G194" s="1" t="s">
        <v>72</v>
      </c>
      <c r="H194" s="2">
        <f t="shared" si="9"/>
        <v>45957</v>
      </c>
      <c r="I194" s="1">
        <v>4410</v>
      </c>
    </row>
  </sheetData>
  <autoFilter ref="A1:I194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47FE6-C345-49F8-A209-000394C8B687}">
  <dimension ref="A1:I65"/>
  <sheetViews>
    <sheetView topLeftCell="A37" workbookViewId="0">
      <selection activeCell="I57" sqref="I57"/>
    </sheetView>
  </sheetViews>
  <sheetFormatPr baseColWidth="10" defaultRowHeight="14.4" x14ac:dyDescent="0.3"/>
  <cols>
    <col min="1" max="1" width="10.5546875" bestFit="1" customWidth="1"/>
    <col min="2" max="2" width="12" customWidth="1"/>
    <col min="3" max="3" width="56.21875" customWidth="1"/>
    <col min="4" max="4" width="24.109375" customWidth="1"/>
    <col min="5" max="6" width="21.88671875" customWidth="1"/>
    <col min="7" max="7" width="10.21875" bestFit="1" customWidth="1"/>
    <col min="8" max="8" width="12" bestFit="1" customWidth="1"/>
    <col min="9" max="9" width="18.6640625" customWidth="1"/>
  </cols>
  <sheetData>
    <row r="1" spans="1:9" x14ac:dyDescent="0.3">
      <c r="A1" s="3" t="s">
        <v>0</v>
      </c>
      <c r="B1" s="3" t="s">
        <v>106</v>
      </c>
      <c r="C1" s="3" t="s">
        <v>1</v>
      </c>
      <c r="D1" s="3" t="s">
        <v>82</v>
      </c>
      <c r="E1" s="3" t="s">
        <v>83</v>
      </c>
      <c r="F1" s="3" t="s">
        <v>65</v>
      </c>
      <c r="G1" s="3" t="s">
        <v>71</v>
      </c>
      <c r="H1" s="3" t="s">
        <v>81</v>
      </c>
      <c r="I1" s="5" t="s">
        <v>92</v>
      </c>
    </row>
    <row r="2" spans="1:9" x14ac:dyDescent="0.3">
      <c r="A2" s="2">
        <v>45748</v>
      </c>
      <c r="B2" s="1">
        <v>4578</v>
      </c>
      <c r="C2" s="1" t="s">
        <v>2</v>
      </c>
      <c r="D2" s="1" t="s">
        <v>84</v>
      </c>
      <c r="E2" s="1" t="s">
        <v>55</v>
      </c>
      <c r="F2" s="1" t="s">
        <v>66</v>
      </c>
      <c r="G2" s="1" t="s">
        <v>72</v>
      </c>
      <c r="H2" s="1">
        <v>2900</v>
      </c>
      <c r="I2" s="2">
        <f>A2+120</f>
        <v>45868</v>
      </c>
    </row>
    <row r="3" spans="1:9" x14ac:dyDescent="0.3">
      <c r="A3" s="2">
        <v>45749</v>
      </c>
      <c r="B3" s="1">
        <v>4588</v>
      </c>
      <c r="C3" s="1" t="s">
        <v>2</v>
      </c>
      <c r="D3" s="1" t="s">
        <v>58</v>
      </c>
      <c r="E3" s="1" t="s">
        <v>90</v>
      </c>
      <c r="F3" s="1" t="s">
        <v>69</v>
      </c>
      <c r="G3" s="1" t="s">
        <v>72</v>
      </c>
      <c r="H3" s="1">
        <v>70000</v>
      </c>
      <c r="I3" s="2">
        <f t="shared" ref="I3:I17" si="0">A3+120</f>
        <v>45869</v>
      </c>
    </row>
    <row r="4" spans="1:9" x14ac:dyDescent="0.3">
      <c r="A4" s="2">
        <v>45750</v>
      </c>
      <c r="B4" s="1">
        <v>5686</v>
      </c>
      <c r="C4" s="1" t="s">
        <v>3</v>
      </c>
      <c r="D4" s="1" t="s">
        <v>84</v>
      </c>
      <c r="E4" s="1" t="s">
        <v>56</v>
      </c>
      <c r="F4" s="1" t="s">
        <v>67</v>
      </c>
      <c r="G4" s="1" t="s">
        <v>72</v>
      </c>
      <c r="H4" s="1">
        <v>1290</v>
      </c>
      <c r="I4" s="2">
        <f t="shared" si="0"/>
        <v>45870</v>
      </c>
    </row>
    <row r="5" spans="1:9" x14ac:dyDescent="0.3">
      <c r="A5" s="2">
        <v>45754</v>
      </c>
      <c r="B5" s="1">
        <v>5481</v>
      </c>
      <c r="C5" s="1" t="s">
        <v>3</v>
      </c>
      <c r="D5" s="1" t="s">
        <v>58</v>
      </c>
      <c r="E5" s="1" t="s">
        <v>91</v>
      </c>
      <c r="F5" s="1" t="s">
        <v>69</v>
      </c>
      <c r="G5" s="1" t="s">
        <v>72</v>
      </c>
      <c r="H5" s="1">
        <v>18000</v>
      </c>
      <c r="I5" s="2">
        <f t="shared" si="0"/>
        <v>45874</v>
      </c>
    </row>
    <row r="6" spans="1:9" x14ac:dyDescent="0.3">
      <c r="A6" s="2">
        <v>45755</v>
      </c>
      <c r="B6" s="1">
        <v>3658</v>
      </c>
      <c r="C6" s="1" t="s">
        <v>3</v>
      </c>
      <c r="D6" s="1" t="s">
        <v>84</v>
      </c>
      <c r="E6" s="1" t="s">
        <v>61</v>
      </c>
      <c r="F6" s="1" t="s">
        <v>105</v>
      </c>
      <c r="G6" s="1" t="s">
        <v>72</v>
      </c>
      <c r="H6" s="1">
        <v>9200</v>
      </c>
      <c r="I6" s="2">
        <f t="shared" si="0"/>
        <v>45875</v>
      </c>
    </row>
    <row r="7" spans="1:9" x14ac:dyDescent="0.3">
      <c r="A7" s="2">
        <v>45756</v>
      </c>
      <c r="B7" s="1">
        <v>8878</v>
      </c>
      <c r="C7" s="1" t="s">
        <v>4</v>
      </c>
      <c r="D7" s="1" t="s">
        <v>57</v>
      </c>
      <c r="E7" s="1" t="s">
        <v>57</v>
      </c>
      <c r="F7" s="1" t="s">
        <v>68</v>
      </c>
      <c r="G7" s="1" t="s">
        <v>72</v>
      </c>
      <c r="H7" s="1">
        <v>6190</v>
      </c>
      <c r="I7" s="2">
        <f t="shared" si="0"/>
        <v>45876</v>
      </c>
    </row>
    <row r="8" spans="1:9" x14ac:dyDescent="0.3">
      <c r="A8" s="2">
        <v>45757</v>
      </c>
      <c r="B8" s="1">
        <v>4368</v>
      </c>
      <c r="C8" s="1" t="s">
        <v>4</v>
      </c>
      <c r="D8" s="1" t="s">
        <v>84</v>
      </c>
      <c r="E8" s="1" t="s">
        <v>55</v>
      </c>
      <c r="F8" s="1" t="s">
        <v>105</v>
      </c>
      <c r="G8" s="1" t="s">
        <v>72</v>
      </c>
      <c r="H8" s="1">
        <v>3200</v>
      </c>
      <c r="I8" s="2">
        <f t="shared" si="0"/>
        <v>45877</v>
      </c>
    </row>
    <row r="9" spans="1:9" x14ac:dyDescent="0.3">
      <c r="A9" s="2">
        <v>45758</v>
      </c>
      <c r="B9" s="1">
        <v>9887</v>
      </c>
      <c r="C9" s="1" t="s">
        <v>3</v>
      </c>
      <c r="D9" s="1" t="s">
        <v>85</v>
      </c>
      <c r="E9" s="1" t="s">
        <v>85</v>
      </c>
      <c r="F9" s="1" t="s">
        <v>69</v>
      </c>
      <c r="G9" s="1" t="s">
        <v>72</v>
      </c>
      <c r="H9" s="1">
        <v>350</v>
      </c>
      <c r="I9" s="2">
        <f t="shared" si="0"/>
        <v>45878</v>
      </c>
    </row>
    <row r="10" spans="1:9" x14ac:dyDescent="0.3">
      <c r="A10" s="2">
        <v>45761</v>
      </c>
      <c r="B10" s="1">
        <v>9877</v>
      </c>
      <c r="C10" s="1" t="s">
        <v>4</v>
      </c>
      <c r="D10" s="1" t="s">
        <v>58</v>
      </c>
      <c r="E10" s="1" t="s">
        <v>87</v>
      </c>
      <c r="F10" s="1" t="s">
        <v>70</v>
      </c>
      <c r="G10" s="1" t="s">
        <v>72</v>
      </c>
      <c r="H10" s="4">
        <v>10000</v>
      </c>
      <c r="I10" s="2">
        <f t="shared" si="0"/>
        <v>45881</v>
      </c>
    </row>
    <row r="11" spans="1:9" x14ac:dyDescent="0.3">
      <c r="A11" s="2">
        <v>45762</v>
      </c>
      <c r="B11" s="1">
        <v>1234</v>
      </c>
      <c r="C11" s="1" t="s">
        <v>4</v>
      </c>
      <c r="D11" s="1" t="s">
        <v>84</v>
      </c>
      <c r="E11" s="1" t="s">
        <v>86</v>
      </c>
      <c r="F11" s="1" t="s">
        <v>66</v>
      </c>
      <c r="G11" s="1" t="s">
        <v>72</v>
      </c>
      <c r="H11" s="1">
        <v>8350</v>
      </c>
      <c r="I11" s="2">
        <f t="shared" si="0"/>
        <v>45882</v>
      </c>
    </row>
    <row r="12" spans="1:9" x14ac:dyDescent="0.3">
      <c r="A12" s="2">
        <v>45763</v>
      </c>
      <c r="B12" s="1">
        <v>2345</v>
      </c>
      <c r="C12" s="1" t="s">
        <v>5</v>
      </c>
      <c r="D12" s="1" t="s">
        <v>84</v>
      </c>
      <c r="E12" s="1" t="s">
        <v>59</v>
      </c>
      <c r="F12" s="1" t="s">
        <v>67</v>
      </c>
      <c r="G12" s="1" t="s">
        <v>72</v>
      </c>
      <c r="H12" s="1">
        <v>4800</v>
      </c>
      <c r="I12" s="2">
        <f t="shared" si="0"/>
        <v>45883</v>
      </c>
    </row>
    <row r="13" spans="1:9" x14ac:dyDescent="0.3">
      <c r="A13" s="2">
        <v>45764</v>
      </c>
      <c r="B13" s="1">
        <v>5582</v>
      </c>
      <c r="C13" s="1" t="s">
        <v>5</v>
      </c>
      <c r="D13" s="1" t="s">
        <v>58</v>
      </c>
      <c r="E13" s="1" t="s">
        <v>87</v>
      </c>
      <c r="F13" s="1" t="s">
        <v>69</v>
      </c>
      <c r="G13" s="1" t="s">
        <v>72</v>
      </c>
      <c r="H13" s="1">
        <v>20000</v>
      </c>
      <c r="I13" s="2">
        <f t="shared" si="0"/>
        <v>45884</v>
      </c>
    </row>
    <row r="14" spans="1:9" x14ac:dyDescent="0.3">
      <c r="A14" s="2">
        <v>45765</v>
      </c>
      <c r="B14" s="1">
        <v>3456</v>
      </c>
      <c r="C14" s="1" t="s">
        <v>4</v>
      </c>
      <c r="D14" s="1" t="s">
        <v>84</v>
      </c>
      <c r="E14" s="1" t="s">
        <v>60</v>
      </c>
      <c r="F14" s="1" t="s">
        <v>68</v>
      </c>
      <c r="G14" s="1" t="s">
        <v>72</v>
      </c>
      <c r="H14" s="1">
        <v>1500</v>
      </c>
      <c r="I14" s="2">
        <f t="shared" si="0"/>
        <v>45885</v>
      </c>
    </row>
    <row r="15" spans="1:9" x14ac:dyDescent="0.3">
      <c r="A15" s="2">
        <v>45768</v>
      </c>
      <c r="B15" s="1">
        <v>4567</v>
      </c>
      <c r="C15" s="1" t="s">
        <v>4</v>
      </c>
      <c r="D15" s="1" t="s">
        <v>84</v>
      </c>
      <c r="E15" s="1" t="s">
        <v>61</v>
      </c>
      <c r="F15" s="1" t="s">
        <v>69</v>
      </c>
      <c r="G15" s="1" t="s">
        <v>72</v>
      </c>
      <c r="H15" s="1">
        <v>8410</v>
      </c>
      <c r="I15" s="2">
        <f t="shared" si="0"/>
        <v>45888</v>
      </c>
    </row>
    <row r="16" spans="1:9" x14ac:dyDescent="0.3">
      <c r="A16" s="2">
        <v>45769</v>
      </c>
      <c r="B16" s="1">
        <v>5678</v>
      </c>
      <c r="C16" s="1" t="s">
        <v>4</v>
      </c>
      <c r="D16" s="1" t="s">
        <v>84</v>
      </c>
      <c r="E16" s="1" t="s">
        <v>62</v>
      </c>
      <c r="F16" s="1" t="s">
        <v>70</v>
      </c>
      <c r="G16" s="1" t="s">
        <v>72</v>
      </c>
      <c r="H16" s="1">
        <v>2486</v>
      </c>
      <c r="I16" s="2">
        <f t="shared" si="0"/>
        <v>45889</v>
      </c>
    </row>
    <row r="17" spans="1:9" x14ac:dyDescent="0.3">
      <c r="A17" s="2">
        <v>45770</v>
      </c>
      <c r="B17" s="1">
        <v>9012</v>
      </c>
      <c r="C17" s="1" t="s">
        <v>7</v>
      </c>
      <c r="D17" s="1" t="s">
        <v>84</v>
      </c>
      <c r="E17" s="1" t="s">
        <v>55</v>
      </c>
      <c r="F17" s="1" t="s">
        <v>69</v>
      </c>
      <c r="G17" s="1" t="s">
        <v>72</v>
      </c>
      <c r="H17" s="1">
        <v>2900</v>
      </c>
      <c r="I17" s="2">
        <f t="shared" si="0"/>
        <v>45890</v>
      </c>
    </row>
    <row r="18" spans="1:9" x14ac:dyDescent="0.3">
      <c r="A18" s="2">
        <v>45771</v>
      </c>
      <c r="B18" s="1">
        <v>1023</v>
      </c>
      <c r="C18" s="1" t="s">
        <v>8</v>
      </c>
      <c r="D18" s="1" t="s">
        <v>58</v>
      </c>
      <c r="E18" s="1" t="s">
        <v>104</v>
      </c>
      <c r="F18" s="1" t="s">
        <v>70</v>
      </c>
      <c r="G18" s="1" t="s">
        <v>72</v>
      </c>
      <c r="H18" s="1">
        <v>1800</v>
      </c>
      <c r="I18" s="2">
        <f t="shared" ref="I12:I33" si="1">A18+90</f>
        <v>45861</v>
      </c>
    </row>
    <row r="19" spans="1:9" x14ac:dyDescent="0.3">
      <c r="A19" s="2">
        <v>45772</v>
      </c>
      <c r="B19" s="1">
        <v>4580</v>
      </c>
      <c r="C19" s="1" t="s">
        <v>8</v>
      </c>
      <c r="D19" s="1" t="s">
        <v>84</v>
      </c>
      <c r="E19" s="1" t="s">
        <v>59</v>
      </c>
      <c r="F19" s="1" t="s">
        <v>70</v>
      </c>
      <c r="G19" s="1" t="s">
        <v>72</v>
      </c>
      <c r="H19" s="1">
        <v>3560</v>
      </c>
      <c r="I19" s="2">
        <f t="shared" si="1"/>
        <v>45862</v>
      </c>
    </row>
    <row r="20" spans="1:9" x14ac:dyDescent="0.3">
      <c r="A20" s="2">
        <v>45775</v>
      </c>
      <c r="B20" s="1">
        <v>4356</v>
      </c>
      <c r="C20" s="1" t="s">
        <v>107</v>
      </c>
      <c r="D20" s="1" t="s">
        <v>58</v>
      </c>
      <c r="E20" s="1" t="s">
        <v>88</v>
      </c>
      <c r="F20" s="1" t="s">
        <v>68</v>
      </c>
      <c r="G20" s="1" t="s">
        <v>72</v>
      </c>
      <c r="H20" s="4">
        <v>3400</v>
      </c>
      <c r="I20" s="2">
        <f t="shared" si="1"/>
        <v>45865</v>
      </c>
    </row>
    <row r="21" spans="1:9" x14ac:dyDescent="0.3">
      <c r="A21" s="2">
        <v>45776</v>
      </c>
      <c r="B21" s="1">
        <v>5467</v>
      </c>
      <c r="C21" s="1" t="s">
        <v>9</v>
      </c>
      <c r="D21" s="1" t="s">
        <v>84</v>
      </c>
      <c r="E21" s="1" t="s">
        <v>86</v>
      </c>
      <c r="F21" s="1" t="s">
        <v>69</v>
      </c>
      <c r="G21" s="1" t="s">
        <v>72</v>
      </c>
      <c r="H21" s="1">
        <v>3390</v>
      </c>
      <c r="I21" s="2">
        <f t="shared" si="1"/>
        <v>45866</v>
      </c>
    </row>
    <row r="22" spans="1:9" x14ac:dyDescent="0.3">
      <c r="A22" s="2">
        <v>45777</v>
      </c>
      <c r="B22" s="1">
        <v>4384</v>
      </c>
      <c r="C22" s="1" t="s">
        <v>9</v>
      </c>
      <c r="D22" s="1" t="s">
        <v>58</v>
      </c>
      <c r="E22" s="1" t="s">
        <v>108</v>
      </c>
      <c r="F22" s="1" t="s">
        <v>69</v>
      </c>
      <c r="G22" s="1" t="s">
        <v>72</v>
      </c>
      <c r="H22" s="1">
        <v>50000</v>
      </c>
      <c r="I22" s="2">
        <f t="shared" si="1"/>
        <v>45867</v>
      </c>
    </row>
    <row r="23" spans="1:9" x14ac:dyDescent="0.3">
      <c r="A23" s="2">
        <v>45782</v>
      </c>
      <c r="B23" s="1">
        <v>6578</v>
      </c>
      <c r="C23" s="1" t="s">
        <v>10</v>
      </c>
      <c r="D23" s="1" t="s">
        <v>84</v>
      </c>
      <c r="E23" s="1" t="s">
        <v>59</v>
      </c>
      <c r="F23" s="1" t="s">
        <v>109</v>
      </c>
      <c r="G23" s="1" t="s">
        <v>72</v>
      </c>
      <c r="H23" s="1">
        <v>1695</v>
      </c>
      <c r="I23" s="2">
        <f t="shared" si="1"/>
        <v>45872</v>
      </c>
    </row>
    <row r="24" spans="1:9" x14ac:dyDescent="0.3">
      <c r="A24" s="2">
        <v>45783</v>
      </c>
      <c r="B24" s="1">
        <v>4582</v>
      </c>
      <c r="C24" s="1" t="s">
        <v>10</v>
      </c>
      <c r="D24" s="1" t="s">
        <v>58</v>
      </c>
      <c r="E24" s="1" t="s">
        <v>87</v>
      </c>
      <c r="F24" s="1" t="s">
        <v>109</v>
      </c>
      <c r="G24" s="1" t="s">
        <v>72</v>
      </c>
      <c r="H24" s="1">
        <v>3200</v>
      </c>
      <c r="I24" s="2">
        <f t="shared" si="1"/>
        <v>45873</v>
      </c>
    </row>
    <row r="25" spans="1:9" x14ac:dyDescent="0.3">
      <c r="A25" s="2">
        <v>45784</v>
      </c>
      <c r="B25" s="1">
        <v>7658</v>
      </c>
      <c r="C25" s="1" t="s">
        <v>12</v>
      </c>
      <c r="D25" s="1" t="s">
        <v>84</v>
      </c>
      <c r="E25" s="1" t="s">
        <v>61</v>
      </c>
      <c r="F25" s="1" t="s">
        <v>109</v>
      </c>
      <c r="G25" s="1" t="s">
        <v>72</v>
      </c>
      <c r="H25" s="1">
        <v>5505</v>
      </c>
      <c r="I25" s="2">
        <f t="shared" si="1"/>
        <v>45874</v>
      </c>
    </row>
    <row r="26" spans="1:9" x14ac:dyDescent="0.3">
      <c r="A26" s="2">
        <v>45785</v>
      </c>
      <c r="B26" s="1">
        <v>2098</v>
      </c>
      <c r="C26" s="1" t="s">
        <v>13</v>
      </c>
      <c r="D26" s="1" t="s">
        <v>84</v>
      </c>
      <c r="E26" s="1" t="s">
        <v>60</v>
      </c>
      <c r="F26" s="1" t="s">
        <v>69</v>
      </c>
      <c r="G26" s="1" t="s">
        <v>72</v>
      </c>
      <c r="H26" s="1">
        <v>1020</v>
      </c>
      <c r="I26" s="2">
        <f t="shared" si="1"/>
        <v>45875</v>
      </c>
    </row>
    <row r="27" spans="1:9" x14ac:dyDescent="0.3">
      <c r="A27" s="2">
        <v>45786</v>
      </c>
      <c r="B27" s="1">
        <v>3109</v>
      </c>
      <c r="C27" s="1" t="s">
        <v>14</v>
      </c>
      <c r="D27" s="1" t="s">
        <v>84</v>
      </c>
      <c r="E27" s="1" t="s">
        <v>61</v>
      </c>
      <c r="F27" s="1" t="s">
        <v>70</v>
      </c>
      <c r="G27" s="1" t="s">
        <v>72</v>
      </c>
      <c r="H27" s="1">
        <v>1920</v>
      </c>
      <c r="I27" s="2">
        <f t="shared" si="1"/>
        <v>45876</v>
      </c>
    </row>
    <row r="28" spans="1:9" x14ac:dyDescent="0.3">
      <c r="A28" s="2">
        <v>45789</v>
      </c>
      <c r="B28" s="1">
        <v>6496</v>
      </c>
      <c r="C28" s="1" t="s">
        <v>14</v>
      </c>
      <c r="D28" s="1" t="s">
        <v>58</v>
      </c>
      <c r="E28" s="1" t="s">
        <v>91</v>
      </c>
      <c r="F28" s="1" t="s">
        <v>67</v>
      </c>
      <c r="G28" s="1" t="s">
        <v>72</v>
      </c>
      <c r="H28" s="1">
        <v>18000</v>
      </c>
      <c r="I28" s="2">
        <f t="shared" si="1"/>
        <v>45879</v>
      </c>
    </row>
    <row r="29" spans="1:9" x14ac:dyDescent="0.3">
      <c r="A29" s="2">
        <v>45790</v>
      </c>
      <c r="B29" s="1">
        <v>3098</v>
      </c>
      <c r="C29" s="1" t="s">
        <v>17</v>
      </c>
      <c r="D29" s="1" t="s">
        <v>58</v>
      </c>
      <c r="E29" s="1" t="s">
        <v>91</v>
      </c>
      <c r="F29" s="1" t="s">
        <v>69</v>
      </c>
      <c r="G29" s="1" t="s">
        <v>72</v>
      </c>
      <c r="H29" s="4">
        <v>18000</v>
      </c>
      <c r="I29" s="2">
        <f t="shared" si="1"/>
        <v>45880</v>
      </c>
    </row>
    <row r="30" spans="1:9" x14ac:dyDescent="0.3">
      <c r="A30" s="2">
        <v>45791</v>
      </c>
      <c r="B30" s="1">
        <v>7321</v>
      </c>
      <c r="C30" s="1" t="s">
        <v>17</v>
      </c>
      <c r="D30" s="1" t="s">
        <v>58</v>
      </c>
      <c r="E30" s="1" t="s">
        <v>89</v>
      </c>
      <c r="F30" s="1" t="s">
        <v>69</v>
      </c>
      <c r="G30" s="1" t="s">
        <v>72</v>
      </c>
      <c r="H30" s="4">
        <v>4770</v>
      </c>
      <c r="I30" s="2">
        <f t="shared" si="1"/>
        <v>45881</v>
      </c>
    </row>
    <row r="31" spans="1:9" x14ac:dyDescent="0.3">
      <c r="A31" s="2">
        <v>45792</v>
      </c>
      <c r="B31" s="1">
        <v>8432</v>
      </c>
      <c r="C31" s="1" t="s">
        <v>22</v>
      </c>
      <c r="D31" s="1" t="s">
        <v>84</v>
      </c>
      <c r="E31" s="1" t="s">
        <v>86</v>
      </c>
      <c r="F31" s="1" t="s">
        <v>69</v>
      </c>
      <c r="G31" s="1" t="s">
        <v>72</v>
      </c>
      <c r="H31" s="1">
        <v>2560</v>
      </c>
      <c r="I31" s="2">
        <f t="shared" si="1"/>
        <v>45882</v>
      </c>
    </row>
    <row r="32" spans="1:9" x14ac:dyDescent="0.3">
      <c r="A32" s="2">
        <v>45793</v>
      </c>
      <c r="B32" s="1">
        <v>9543</v>
      </c>
      <c r="C32" s="1" t="s">
        <v>23</v>
      </c>
      <c r="D32" s="1" t="s">
        <v>84</v>
      </c>
      <c r="E32" s="1" t="s">
        <v>59</v>
      </c>
      <c r="F32" s="1" t="s">
        <v>70</v>
      </c>
      <c r="G32" s="1" t="s">
        <v>72</v>
      </c>
      <c r="H32" s="1">
        <v>1995</v>
      </c>
      <c r="I32" s="2">
        <f t="shared" si="1"/>
        <v>45883</v>
      </c>
    </row>
    <row r="33" spans="1:9" x14ac:dyDescent="0.3">
      <c r="A33" s="2">
        <v>45796</v>
      </c>
      <c r="B33" s="1">
        <v>1654</v>
      </c>
      <c r="C33" s="1" t="s">
        <v>24</v>
      </c>
      <c r="D33" s="1" t="s">
        <v>84</v>
      </c>
      <c r="E33" s="1" t="s">
        <v>59</v>
      </c>
      <c r="F33" s="1" t="s">
        <v>73</v>
      </c>
      <c r="G33" s="1" t="s">
        <v>77</v>
      </c>
      <c r="H33" s="1">
        <v>1560</v>
      </c>
      <c r="I33" s="2">
        <f t="shared" si="1"/>
        <v>45886</v>
      </c>
    </row>
    <row r="34" spans="1:9" x14ac:dyDescent="0.3">
      <c r="A34" s="2">
        <v>45797</v>
      </c>
      <c r="B34" s="1">
        <v>3876</v>
      </c>
      <c r="C34" s="1" t="s">
        <v>25</v>
      </c>
      <c r="D34" s="1" t="s">
        <v>84</v>
      </c>
      <c r="E34" s="1" t="s">
        <v>62</v>
      </c>
      <c r="F34" s="1" t="s">
        <v>75</v>
      </c>
      <c r="G34" s="1" t="s">
        <v>79</v>
      </c>
      <c r="H34" s="1">
        <v>2600</v>
      </c>
      <c r="I34" s="2">
        <f t="shared" ref="I30:I49" si="2">A34+60</f>
        <v>45857</v>
      </c>
    </row>
    <row r="35" spans="1:9" x14ac:dyDescent="0.3">
      <c r="A35" s="2">
        <v>45798</v>
      </c>
      <c r="B35" s="1">
        <v>4987</v>
      </c>
      <c r="C35" s="1" t="s">
        <v>26</v>
      </c>
      <c r="D35" s="1" t="s">
        <v>84</v>
      </c>
      <c r="E35" s="1" t="s">
        <v>63</v>
      </c>
      <c r="F35" s="1" t="s">
        <v>76</v>
      </c>
      <c r="G35" s="1" t="s">
        <v>80</v>
      </c>
      <c r="H35" s="1">
        <v>1750</v>
      </c>
      <c r="I35" s="2">
        <f t="shared" si="2"/>
        <v>45858</v>
      </c>
    </row>
    <row r="36" spans="1:9" x14ac:dyDescent="0.3">
      <c r="A36" s="2">
        <v>45799</v>
      </c>
      <c r="B36" s="1">
        <v>7210</v>
      </c>
      <c r="C36" s="1" t="s">
        <v>27</v>
      </c>
      <c r="D36" s="1" t="s">
        <v>84</v>
      </c>
      <c r="E36" s="1" t="s">
        <v>55</v>
      </c>
      <c r="F36" s="1" t="s">
        <v>68</v>
      </c>
      <c r="G36" s="1" t="s">
        <v>72</v>
      </c>
      <c r="H36" s="1">
        <v>4952</v>
      </c>
      <c r="I36" s="2">
        <f t="shared" si="2"/>
        <v>45859</v>
      </c>
    </row>
    <row r="37" spans="1:9" x14ac:dyDescent="0.3">
      <c r="A37" s="2">
        <v>45800</v>
      </c>
      <c r="B37" s="1">
        <v>9432</v>
      </c>
      <c r="C37" s="1" t="s">
        <v>28</v>
      </c>
      <c r="D37" s="1" t="s">
        <v>84</v>
      </c>
      <c r="E37" s="1" t="s">
        <v>61</v>
      </c>
      <c r="F37" s="1" t="s">
        <v>110</v>
      </c>
      <c r="G37" s="1" t="s">
        <v>72</v>
      </c>
      <c r="H37" s="1">
        <v>1510</v>
      </c>
      <c r="I37" s="2">
        <f t="shared" si="2"/>
        <v>45860</v>
      </c>
    </row>
    <row r="38" spans="1:9" x14ac:dyDescent="0.3">
      <c r="A38" s="2">
        <v>45803</v>
      </c>
      <c r="B38" s="1">
        <v>1543</v>
      </c>
      <c r="C38" s="1" t="s">
        <v>4</v>
      </c>
      <c r="D38" s="1" t="s">
        <v>85</v>
      </c>
      <c r="E38" s="1" t="s">
        <v>85</v>
      </c>
      <c r="F38" s="1" t="s">
        <v>73</v>
      </c>
      <c r="G38" s="1" t="s">
        <v>77</v>
      </c>
      <c r="H38" s="1">
        <v>597</v>
      </c>
      <c r="I38" s="2">
        <f t="shared" si="2"/>
        <v>45863</v>
      </c>
    </row>
    <row r="39" spans="1:9" x14ac:dyDescent="0.3">
      <c r="A39" s="2">
        <v>45804</v>
      </c>
      <c r="B39" s="1">
        <v>4876</v>
      </c>
      <c r="C39" s="1" t="s">
        <v>4</v>
      </c>
      <c r="D39" s="1" t="s">
        <v>84</v>
      </c>
      <c r="E39" s="1" t="s">
        <v>59</v>
      </c>
      <c r="F39" s="1" t="s">
        <v>75</v>
      </c>
      <c r="G39" s="1" t="s">
        <v>79</v>
      </c>
      <c r="H39" s="1">
        <v>2593</v>
      </c>
      <c r="I39" s="2">
        <f t="shared" si="2"/>
        <v>45864</v>
      </c>
    </row>
    <row r="40" spans="1:9" x14ac:dyDescent="0.3">
      <c r="A40" s="2">
        <v>45805</v>
      </c>
      <c r="B40" s="1">
        <v>7109</v>
      </c>
      <c r="C40" s="1" t="s">
        <v>29</v>
      </c>
      <c r="D40" s="1" t="s">
        <v>84</v>
      </c>
      <c r="E40" s="1" t="s">
        <v>62</v>
      </c>
      <c r="F40" s="1" t="s">
        <v>110</v>
      </c>
      <c r="G40" s="1" t="s">
        <v>72</v>
      </c>
      <c r="H40" s="1">
        <v>3801</v>
      </c>
      <c r="I40" s="2">
        <f t="shared" si="2"/>
        <v>45865</v>
      </c>
    </row>
    <row r="41" spans="1:9" x14ac:dyDescent="0.3">
      <c r="A41" s="2">
        <v>45806</v>
      </c>
      <c r="B41" s="1">
        <v>8210</v>
      </c>
      <c r="C41" s="1" t="s">
        <v>30</v>
      </c>
      <c r="D41" s="1" t="s">
        <v>84</v>
      </c>
      <c r="E41" s="1" t="s">
        <v>63</v>
      </c>
      <c r="F41" s="1" t="s">
        <v>68</v>
      </c>
      <c r="G41" s="1" t="s">
        <v>72</v>
      </c>
      <c r="H41" s="1">
        <v>1950</v>
      </c>
      <c r="I41" s="2">
        <f t="shared" si="2"/>
        <v>45866</v>
      </c>
    </row>
    <row r="42" spans="1:9" x14ac:dyDescent="0.3">
      <c r="A42" s="2">
        <v>45811</v>
      </c>
      <c r="B42" s="1">
        <v>2543</v>
      </c>
      <c r="C42" s="1" t="s">
        <v>4</v>
      </c>
      <c r="D42" s="1" t="s">
        <v>84</v>
      </c>
      <c r="E42" s="1" t="s">
        <v>55</v>
      </c>
      <c r="F42" s="1" t="s">
        <v>73</v>
      </c>
      <c r="G42" s="1" t="s">
        <v>77</v>
      </c>
      <c r="H42" s="1">
        <v>3110</v>
      </c>
      <c r="I42" s="2">
        <f t="shared" si="2"/>
        <v>45871</v>
      </c>
    </row>
    <row r="43" spans="1:9" x14ac:dyDescent="0.3">
      <c r="A43" s="2">
        <v>45812</v>
      </c>
      <c r="B43" s="1">
        <v>3654</v>
      </c>
      <c r="C43" s="1" t="s">
        <v>4</v>
      </c>
      <c r="D43" s="1" t="s">
        <v>84</v>
      </c>
      <c r="E43" s="1" t="s">
        <v>56</v>
      </c>
      <c r="F43" s="1" t="s">
        <v>74</v>
      </c>
      <c r="G43" s="1" t="s">
        <v>78</v>
      </c>
      <c r="H43" s="1">
        <v>1520</v>
      </c>
      <c r="I43" s="2">
        <f t="shared" si="2"/>
        <v>45872</v>
      </c>
    </row>
    <row r="44" spans="1:9" x14ac:dyDescent="0.3">
      <c r="A44" s="2">
        <v>45813</v>
      </c>
      <c r="B44" s="1">
        <v>5876</v>
      </c>
      <c r="C44" s="1" t="s">
        <v>4</v>
      </c>
      <c r="D44" s="1" t="s">
        <v>85</v>
      </c>
      <c r="E44" s="1" t="s">
        <v>85</v>
      </c>
      <c r="F44" s="1" t="s">
        <v>76</v>
      </c>
      <c r="G44" s="1" t="s">
        <v>80</v>
      </c>
      <c r="H44" s="1">
        <v>1980</v>
      </c>
      <c r="I44" s="2">
        <f t="shared" si="2"/>
        <v>45873</v>
      </c>
    </row>
    <row r="45" spans="1:9" x14ac:dyDescent="0.3">
      <c r="A45" s="2">
        <v>45814</v>
      </c>
      <c r="B45" s="1">
        <v>6987</v>
      </c>
      <c r="C45" s="1" t="s">
        <v>25</v>
      </c>
      <c r="D45" s="1" t="s">
        <v>58</v>
      </c>
      <c r="E45" s="1" t="s">
        <v>87</v>
      </c>
      <c r="F45" s="1" t="s">
        <v>66</v>
      </c>
      <c r="G45" s="1" t="s">
        <v>72</v>
      </c>
      <c r="H45" s="4">
        <v>1989.5436</v>
      </c>
      <c r="I45" s="2">
        <f t="shared" si="2"/>
        <v>45874</v>
      </c>
    </row>
    <row r="46" spans="1:9" x14ac:dyDescent="0.3">
      <c r="A46" s="2">
        <v>45817</v>
      </c>
      <c r="B46" s="1">
        <v>7098</v>
      </c>
      <c r="C46" s="1" t="s">
        <v>29</v>
      </c>
      <c r="D46" s="1" t="s">
        <v>84</v>
      </c>
      <c r="E46" s="1" t="s">
        <v>86</v>
      </c>
      <c r="F46" s="1" t="s">
        <v>110</v>
      </c>
      <c r="G46" s="1" t="s">
        <v>72</v>
      </c>
      <c r="H46" s="1">
        <v>3550</v>
      </c>
      <c r="I46" s="2">
        <f t="shared" si="2"/>
        <v>45877</v>
      </c>
    </row>
    <row r="47" spans="1:9" x14ac:dyDescent="0.3">
      <c r="A47" s="2">
        <v>45818</v>
      </c>
      <c r="B47" s="1">
        <v>4654</v>
      </c>
      <c r="C47" s="1" t="s">
        <v>4</v>
      </c>
      <c r="D47" s="1" t="s">
        <v>84</v>
      </c>
      <c r="E47" s="1" t="s">
        <v>86</v>
      </c>
      <c r="F47" s="1" t="s">
        <v>75</v>
      </c>
      <c r="G47" s="1" t="s">
        <v>79</v>
      </c>
      <c r="H47" s="1">
        <v>3751</v>
      </c>
      <c r="I47" s="2">
        <f t="shared" si="2"/>
        <v>45878</v>
      </c>
    </row>
    <row r="48" spans="1:9" x14ac:dyDescent="0.3">
      <c r="A48" s="2">
        <v>45819</v>
      </c>
      <c r="B48" s="1">
        <v>6766</v>
      </c>
      <c r="C48" s="1" t="s">
        <v>4</v>
      </c>
      <c r="D48" s="1" t="s">
        <v>84</v>
      </c>
      <c r="E48" s="1" t="s">
        <v>62</v>
      </c>
      <c r="F48" s="1" t="s">
        <v>76</v>
      </c>
      <c r="G48" s="1" t="s">
        <v>80</v>
      </c>
      <c r="H48" s="1">
        <v>1780</v>
      </c>
      <c r="I48" s="2">
        <f t="shared" si="2"/>
        <v>45879</v>
      </c>
    </row>
    <row r="49" spans="1:9" x14ac:dyDescent="0.3">
      <c r="A49" s="2">
        <v>45821</v>
      </c>
      <c r="B49" s="1">
        <v>7877</v>
      </c>
      <c r="C49" s="1" t="s">
        <v>10</v>
      </c>
      <c r="D49" s="1" t="s">
        <v>84</v>
      </c>
      <c r="E49" s="1" t="s">
        <v>63</v>
      </c>
      <c r="F49" s="1" t="s">
        <v>109</v>
      </c>
      <c r="G49" s="1" t="s">
        <v>72</v>
      </c>
      <c r="H49" s="1">
        <v>1430</v>
      </c>
      <c r="I49" s="2">
        <f t="shared" si="2"/>
        <v>45881</v>
      </c>
    </row>
    <row r="50" spans="1:9" x14ac:dyDescent="0.3">
      <c r="A50" s="2">
        <v>45824</v>
      </c>
      <c r="B50" s="1">
        <v>3434</v>
      </c>
      <c r="C50" s="1" t="s">
        <v>3</v>
      </c>
      <c r="D50" s="1" t="s">
        <v>58</v>
      </c>
      <c r="E50" s="1" t="s">
        <v>88</v>
      </c>
      <c r="F50" s="1" t="s">
        <v>73</v>
      </c>
      <c r="G50" s="1" t="s">
        <v>77</v>
      </c>
      <c r="H50" s="1">
        <v>4800</v>
      </c>
      <c r="I50" s="2">
        <f>A50+30</f>
        <v>45854</v>
      </c>
    </row>
    <row r="51" spans="1:9" x14ac:dyDescent="0.3">
      <c r="A51" s="2">
        <v>45826</v>
      </c>
      <c r="B51" s="1">
        <v>9090</v>
      </c>
      <c r="C51" s="1" t="s">
        <v>5</v>
      </c>
      <c r="D51" s="1" t="s">
        <v>84</v>
      </c>
      <c r="E51" s="1" t="s">
        <v>61</v>
      </c>
      <c r="F51" s="1" t="s">
        <v>105</v>
      </c>
      <c r="G51" s="1" t="s">
        <v>72</v>
      </c>
      <c r="H51" s="1">
        <v>7450</v>
      </c>
      <c r="I51" s="2">
        <f t="shared" ref="I51:I63" si="3">A51+30</f>
        <v>45856</v>
      </c>
    </row>
    <row r="52" spans="1:9" x14ac:dyDescent="0.3">
      <c r="A52" s="2">
        <v>45827</v>
      </c>
      <c r="B52" s="1">
        <v>1213</v>
      </c>
      <c r="C52" s="1" t="s">
        <v>5</v>
      </c>
      <c r="D52" s="1" t="s">
        <v>84</v>
      </c>
      <c r="E52" s="1" t="s">
        <v>62</v>
      </c>
      <c r="F52" s="1" t="s">
        <v>105</v>
      </c>
      <c r="G52" s="1" t="s">
        <v>72</v>
      </c>
      <c r="H52" s="1">
        <v>1780</v>
      </c>
      <c r="I52" s="2">
        <f t="shared" si="3"/>
        <v>45857</v>
      </c>
    </row>
    <row r="53" spans="1:9" x14ac:dyDescent="0.3">
      <c r="A53" s="2">
        <v>45828</v>
      </c>
      <c r="B53" s="1">
        <v>5657</v>
      </c>
      <c r="C53" s="1" t="s">
        <v>36</v>
      </c>
      <c r="D53" s="1" t="s">
        <v>84</v>
      </c>
      <c r="E53" s="1" t="s">
        <v>55</v>
      </c>
      <c r="F53" s="1" t="s">
        <v>75</v>
      </c>
      <c r="G53" s="1" t="s">
        <v>79</v>
      </c>
      <c r="H53" s="1">
        <v>1600</v>
      </c>
      <c r="I53" s="2">
        <f t="shared" si="3"/>
        <v>45858</v>
      </c>
    </row>
    <row r="54" spans="1:9" x14ac:dyDescent="0.3">
      <c r="A54" s="2">
        <v>45831</v>
      </c>
      <c r="B54" s="1">
        <v>9091</v>
      </c>
      <c r="C54" s="1" t="s">
        <v>37</v>
      </c>
      <c r="D54" s="1" t="s">
        <v>58</v>
      </c>
      <c r="E54" s="1" t="s">
        <v>111</v>
      </c>
      <c r="F54" s="1" t="s">
        <v>66</v>
      </c>
      <c r="G54" s="1" t="s">
        <v>72</v>
      </c>
      <c r="H54" s="4">
        <v>22000</v>
      </c>
      <c r="I54" s="2">
        <f t="shared" si="3"/>
        <v>45861</v>
      </c>
    </row>
    <row r="55" spans="1:9" x14ac:dyDescent="0.3">
      <c r="A55" s="2">
        <v>45832</v>
      </c>
      <c r="B55" s="1">
        <v>2332</v>
      </c>
      <c r="C55" s="1" t="s">
        <v>37</v>
      </c>
      <c r="D55" s="1" t="s">
        <v>84</v>
      </c>
      <c r="E55" s="1" t="s">
        <v>86</v>
      </c>
      <c r="F55" s="1" t="s">
        <v>66</v>
      </c>
      <c r="G55" s="1" t="s">
        <v>72</v>
      </c>
      <c r="H55" s="1">
        <v>7800</v>
      </c>
      <c r="I55" s="2">
        <f t="shared" si="3"/>
        <v>45862</v>
      </c>
    </row>
    <row r="56" spans="1:9" x14ac:dyDescent="0.3">
      <c r="A56" s="2">
        <v>45833</v>
      </c>
      <c r="B56" s="1">
        <v>7889</v>
      </c>
      <c r="C56" s="1" t="s">
        <v>35</v>
      </c>
      <c r="D56" s="1" t="s">
        <v>84</v>
      </c>
      <c r="E56" s="1" t="s">
        <v>60</v>
      </c>
      <c r="F56" s="1" t="s">
        <v>75</v>
      </c>
      <c r="G56" s="1" t="s">
        <v>79</v>
      </c>
      <c r="H56" s="1">
        <v>7390</v>
      </c>
      <c r="I56" s="2">
        <f t="shared" si="3"/>
        <v>45863</v>
      </c>
    </row>
    <row r="57" spans="1:9" x14ac:dyDescent="0.3">
      <c r="A57" s="2">
        <v>45834</v>
      </c>
      <c r="B57" s="1">
        <v>6779</v>
      </c>
      <c r="C57" s="1" t="s">
        <v>40</v>
      </c>
      <c r="D57" s="1" t="s">
        <v>57</v>
      </c>
      <c r="E57" s="1" t="s">
        <v>57</v>
      </c>
      <c r="F57" s="1" t="s">
        <v>76</v>
      </c>
      <c r="G57" s="1" t="s">
        <v>80</v>
      </c>
      <c r="H57" s="1">
        <v>2900</v>
      </c>
      <c r="I57" s="2">
        <f t="shared" si="3"/>
        <v>45864</v>
      </c>
    </row>
    <row r="58" spans="1:9" x14ac:dyDescent="0.3">
      <c r="A58" s="2">
        <v>45838</v>
      </c>
      <c r="B58" s="1">
        <v>8993</v>
      </c>
      <c r="C58" s="1" t="s">
        <v>42</v>
      </c>
      <c r="D58" s="1" t="s">
        <v>84</v>
      </c>
      <c r="E58" s="1" t="s">
        <v>55</v>
      </c>
      <c r="F58" s="1" t="s">
        <v>67</v>
      </c>
      <c r="G58" s="1" t="s">
        <v>72</v>
      </c>
      <c r="H58" s="1">
        <v>4100</v>
      </c>
      <c r="I58" s="2">
        <f t="shared" si="3"/>
        <v>45868</v>
      </c>
    </row>
    <row r="59" spans="1:9" x14ac:dyDescent="0.3">
      <c r="A59" s="2">
        <v>45839</v>
      </c>
      <c r="B59" s="1">
        <v>9006</v>
      </c>
      <c r="C59" s="1" t="s">
        <v>44</v>
      </c>
      <c r="D59" s="1" t="s">
        <v>84</v>
      </c>
      <c r="E59" s="1" t="s">
        <v>86</v>
      </c>
      <c r="F59" s="1" t="s">
        <v>112</v>
      </c>
      <c r="G59" s="1" t="s">
        <v>72</v>
      </c>
      <c r="H59" s="1">
        <v>1860</v>
      </c>
      <c r="I59" s="2">
        <f t="shared" si="3"/>
        <v>45869</v>
      </c>
    </row>
    <row r="60" spans="1:9" x14ac:dyDescent="0.3">
      <c r="A60" s="2">
        <v>45840</v>
      </c>
      <c r="B60" s="1">
        <v>9039</v>
      </c>
      <c r="C60" s="1" t="s">
        <v>113</v>
      </c>
      <c r="D60" s="1" t="s">
        <v>84</v>
      </c>
      <c r="E60" s="1" t="s">
        <v>62</v>
      </c>
      <c r="F60" s="1" t="s">
        <v>73</v>
      </c>
      <c r="G60" s="1" t="s">
        <v>77</v>
      </c>
      <c r="H60" s="1">
        <v>4060</v>
      </c>
      <c r="I60" s="2">
        <f t="shared" si="3"/>
        <v>45870</v>
      </c>
    </row>
    <row r="61" spans="1:9" x14ac:dyDescent="0.3">
      <c r="A61" s="2">
        <v>45841</v>
      </c>
      <c r="B61" s="1">
        <v>9061</v>
      </c>
      <c r="C61" s="1" t="s">
        <v>46</v>
      </c>
      <c r="D61" s="1" t="s">
        <v>84</v>
      </c>
      <c r="E61" s="1" t="s">
        <v>86</v>
      </c>
      <c r="F61" s="1" t="s">
        <v>74</v>
      </c>
      <c r="G61" s="1" t="s">
        <v>78</v>
      </c>
      <c r="H61" s="1">
        <v>1080</v>
      </c>
      <c r="I61" s="2">
        <f t="shared" si="3"/>
        <v>45871</v>
      </c>
    </row>
    <row r="62" spans="1:9" x14ac:dyDescent="0.3">
      <c r="A62" s="2">
        <v>45842</v>
      </c>
      <c r="B62" s="1">
        <v>9072</v>
      </c>
      <c r="C62" s="1" t="s">
        <v>47</v>
      </c>
      <c r="D62" s="1" t="s">
        <v>85</v>
      </c>
      <c r="E62" s="1" t="s">
        <v>85</v>
      </c>
      <c r="F62" s="1" t="s">
        <v>76</v>
      </c>
      <c r="G62" s="1" t="s">
        <v>80</v>
      </c>
      <c r="H62" s="1">
        <v>310</v>
      </c>
      <c r="I62" s="2">
        <f t="shared" si="3"/>
        <v>45872</v>
      </c>
    </row>
    <row r="63" spans="1:9" x14ac:dyDescent="0.3">
      <c r="A63" s="2">
        <v>45845</v>
      </c>
      <c r="B63" s="1">
        <v>9083</v>
      </c>
      <c r="C63" s="1" t="s">
        <v>48</v>
      </c>
      <c r="D63" s="1" t="s">
        <v>58</v>
      </c>
      <c r="E63" s="1" t="s">
        <v>89</v>
      </c>
      <c r="F63" s="1" t="s">
        <v>68</v>
      </c>
      <c r="G63" s="1" t="s">
        <v>72</v>
      </c>
      <c r="H63" s="1">
        <v>2814</v>
      </c>
      <c r="I63" s="2">
        <f t="shared" si="3"/>
        <v>45875</v>
      </c>
    </row>
    <row r="65" spans="8:8" x14ac:dyDescent="0.3">
      <c r="H65" s="11"/>
    </row>
  </sheetData>
  <autoFilter ref="A1:I63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50A6F-86CF-41D8-A983-B0AC39B4DD88}">
  <dimension ref="A1:E124"/>
  <sheetViews>
    <sheetView workbookViewId="0">
      <selection activeCell="B1" sqref="B1"/>
    </sheetView>
  </sheetViews>
  <sheetFormatPr baseColWidth="10" defaultRowHeight="14.4" x14ac:dyDescent="0.3"/>
  <cols>
    <col min="1" max="1" width="11.5546875" style="6"/>
    <col min="2" max="2" width="20.44140625" style="6" customWidth="1"/>
    <col min="3" max="3" width="44.33203125" style="6" bestFit="1" customWidth="1"/>
    <col min="4" max="4" width="25.109375" style="6" customWidth="1"/>
    <col min="5" max="16384" width="11.5546875" style="6"/>
  </cols>
  <sheetData>
    <row r="1" spans="1:4" x14ac:dyDescent="0.3">
      <c r="A1" s="10" t="s">
        <v>0</v>
      </c>
      <c r="B1" s="10" t="s">
        <v>71</v>
      </c>
      <c r="C1" s="10" t="s">
        <v>103</v>
      </c>
      <c r="D1" s="9" t="s">
        <v>102</v>
      </c>
    </row>
    <row r="2" spans="1:4" x14ac:dyDescent="0.3">
      <c r="A2" s="8" t="s">
        <v>101</v>
      </c>
      <c r="B2" s="8" t="s">
        <v>72</v>
      </c>
      <c r="C2" s="7" t="s">
        <v>57</v>
      </c>
      <c r="D2" s="12">
        <v>3673.6</v>
      </c>
    </row>
    <row r="3" spans="1:4" x14ac:dyDescent="0.3">
      <c r="A3" s="8" t="s">
        <v>101</v>
      </c>
      <c r="B3" s="8" t="s">
        <v>72</v>
      </c>
      <c r="C3" s="7" t="s">
        <v>58</v>
      </c>
      <c r="D3" s="12">
        <v>400059.18400000001</v>
      </c>
    </row>
    <row r="4" spans="1:4" x14ac:dyDescent="0.3">
      <c r="A4" s="8" t="s">
        <v>101</v>
      </c>
      <c r="B4" s="8" t="s">
        <v>72</v>
      </c>
      <c r="C4" s="7" t="s">
        <v>93</v>
      </c>
      <c r="D4" s="12">
        <v>220565</v>
      </c>
    </row>
    <row r="5" spans="1:4" x14ac:dyDescent="0.3">
      <c r="A5" s="8" t="s">
        <v>101</v>
      </c>
      <c r="B5" s="8" t="s">
        <v>72</v>
      </c>
      <c r="C5" s="7" t="s">
        <v>95</v>
      </c>
      <c r="D5" s="12">
        <v>5800</v>
      </c>
    </row>
    <row r="6" spans="1:4" x14ac:dyDescent="0.3">
      <c r="A6" s="8" t="s">
        <v>101</v>
      </c>
      <c r="B6" s="8" t="s">
        <v>77</v>
      </c>
      <c r="C6" s="7" t="s">
        <v>93</v>
      </c>
      <c r="D6" s="12">
        <v>32000</v>
      </c>
    </row>
    <row r="7" spans="1:4" x14ac:dyDescent="0.3">
      <c r="A7" s="8" t="s">
        <v>101</v>
      </c>
      <c r="B7" s="8" t="s">
        <v>77</v>
      </c>
      <c r="C7" s="7" t="s">
        <v>57</v>
      </c>
      <c r="D7" s="12">
        <v>9850</v>
      </c>
    </row>
    <row r="8" spans="1:4" x14ac:dyDescent="0.3">
      <c r="A8" s="8" t="s">
        <v>101</v>
      </c>
      <c r="B8" s="8" t="s">
        <v>80</v>
      </c>
      <c r="C8" s="7" t="s">
        <v>57</v>
      </c>
      <c r="D8" s="12">
        <v>4378.75</v>
      </c>
    </row>
    <row r="9" spans="1:4" x14ac:dyDescent="0.3">
      <c r="A9" s="8" t="s">
        <v>101</v>
      </c>
      <c r="B9" s="8" t="s">
        <v>80</v>
      </c>
      <c r="C9" s="7" t="s">
        <v>95</v>
      </c>
      <c r="D9" s="12">
        <v>5800</v>
      </c>
    </row>
    <row r="10" spans="1:4" x14ac:dyDescent="0.3">
      <c r="A10" s="8" t="s">
        <v>101</v>
      </c>
      <c r="B10" s="8" t="s">
        <v>80</v>
      </c>
      <c r="C10" s="7" t="s">
        <v>58</v>
      </c>
      <c r="D10" s="12">
        <v>17100</v>
      </c>
    </row>
    <row r="11" spans="1:4" x14ac:dyDescent="0.3">
      <c r="A11" s="8" t="s">
        <v>101</v>
      </c>
      <c r="B11" s="8" t="s">
        <v>80</v>
      </c>
      <c r="C11" s="7" t="s">
        <v>93</v>
      </c>
      <c r="D11" s="12">
        <v>22600</v>
      </c>
    </row>
    <row r="12" spans="1:4" x14ac:dyDescent="0.3">
      <c r="A12" s="8" t="s">
        <v>101</v>
      </c>
      <c r="B12" s="8" t="s">
        <v>78</v>
      </c>
      <c r="C12" s="7" t="s">
        <v>57</v>
      </c>
      <c r="D12" s="12">
        <v>4600</v>
      </c>
    </row>
    <row r="13" spans="1:4" x14ac:dyDescent="0.3">
      <c r="A13" s="8" t="s">
        <v>101</v>
      </c>
      <c r="B13" s="8" t="s">
        <v>78</v>
      </c>
      <c r="C13" s="7" t="s">
        <v>95</v>
      </c>
      <c r="D13" s="12">
        <v>4500</v>
      </c>
    </row>
    <row r="14" spans="1:4" x14ac:dyDescent="0.3">
      <c r="A14" s="8" t="s">
        <v>101</v>
      </c>
      <c r="B14" s="8" t="s">
        <v>78</v>
      </c>
      <c r="C14" s="7" t="s">
        <v>58</v>
      </c>
      <c r="D14" s="12">
        <v>23400</v>
      </c>
    </row>
    <row r="15" spans="1:4" x14ac:dyDescent="0.3">
      <c r="A15" s="8" t="s">
        <v>101</v>
      </c>
      <c r="B15" s="8" t="s">
        <v>78</v>
      </c>
      <c r="C15" s="7" t="s">
        <v>93</v>
      </c>
      <c r="D15" s="12">
        <v>15800</v>
      </c>
    </row>
    <row r="16" spans="1:4" x14ac:dyDescent="0.3">
      <c r="A16" s="8" t="s">
        <v>101</v>
      </c>
      <c r="B16" s="8" t="s">
        <v>79</v>
      </c>
      <c r="C16" s="7" t="s">
        <v>57</v>
      </c>
      <c r="D16" s="12">
        <v>4500</v>
      </c>
    </row>
    <row r="17" spans="1:4" x14ac:dyDescent="0.3">
      <c r="A17" s="8" t="s">
        <v>101</v>
      </c>
      <c r="B17" s="8" t="s">
        <v>79</v>
      </c>
      <c r="C17" s="7" t="s">
        <v>95</v>
      </c>
      <c r="D17" s="12">
        <v>3673.6</v>
      </c>
    </row>
    <row r="18" spans="1:4" x14ac:dyDescent="0.3">
      <c r="A18" s="8" t="s">
        <v>101</v>
      </c>
      <c r="B18" s="8" t="s">
        <v>79</v>
      </c>
      <c r="C18" s="7" t="s">
        <v>58</v>
      </c>
      <c r="D18" s="12">
        <v>400059.18400000001</v>
      </c>
    </row>
    <row r="19" spans="1:4" x14ac:dyDescent="0.3">
      <c r="A19" s="8" t="s">
        <v>101</v>
      </c>
      <c r="B19" s="8" t="s">
        <v>79</v>
      </c>
      <c r="C19" s="7" t="s">
        <v>93</v>
      </c>
      <c r="D19" s="12">
        <v>52722.1417</v>
      </c>
    </row>
    <row r="20" spans="1:4" x14ac:dyDescent="0.3">
      <c r="A20" s="8" t="s">
        <v>100</v>
      </c>
      <c r="B20" s="8" t="s">
        <v>72</v>
      </c>
      <c r="C20" s="7" t="s">
        <v>95</v>
      </c>
      <c r="D20" s="12">
        <v>7800</v>
      </c>
    </row>
    <row r="21" spans="1:4" x14ac:dyDescent="0.3">
      <c r="A21" s="8" t="s">
        <v>100</v>
      </c>
      <c r="B21" s="8" t="s">
        <v>72</v>
      </c>
      <c r="C21" s="7" t="s">
        <v>58</v>
      </c>
      <c r="D21" s="12">
        <v>78035</v>
      </c>
    </row>
    <row r="22" spans="1:4" x14ac:dyDescent="0.3">
      <c r="A22" s="8" t="s">
        <v>100</v>
      </c>
      <c r="B22" s="8" t="s">
        <v>72</v>
      </c>
      <c r="C22" s="7" t="s">
        <v>93</v>
      </c>
      <c r="D22" s="12">
        <v>18000</v>
      </c>
    </row>
    <row r="23" spans="1:4" x14ac:dyDescent="0.3">
      <c r="A23" s="8" t="s">
        <v>100</v>
      </c>
      <c r="B23" s="8" t="s">
        <v>72</v>
      </c>
      <c r="C23" s="7" t="s">
        <v>57</v>
      </c>
      <c r="D23" s="12">
        <v>12550</v>
      </c>
    </row>
    <row r="24" spans="1:4" x14ac:dyDescent="0.3">
      <c r="A24" s="8" t="s">
        <v>100</v>
      </c>
      <c r="B24" s="8" t="s">
        <v>77</v>
      </c>
      <c r="C24" s="7" t="s">
        <v>93</v>
      </c>
      <c r="D24" s="12">
        <v>7491.7304000000004</v>
      </c>
    </row>
    <row r="25" spans="1:4" x14ac:dyDescent="0.3">
      <c r="A25" s="8" t="s">
        <v>100</v>
      </c>
      <c r="B25" s="8" t="s">
        <v>77</v>
      </c>
      <c r="C25" s="7" t="s">
        <v>57</v>
      </c>
      <c r="D25" s="12">
        <v>1800</v>
      </c>
    </row>
    <row r="26" spans="1:4" x14ac:dyDescent="0.3">
      <c r="A26" s="8" t="s">
        <v>100</v>
      </c>
      <c r="B26" s="8" t="s">
        <v>77</v>
      </c>
      <c r="C26" s="7" t="s">
        <v>85</v>
      </c>
      <c r="D26" s="12">
        <v>3200</v>
      </c>
    </row>
    <row r="27" spans="1:4" x14ac:dyDescent="0.3">
      <c r="A27" s="8" t="s">
        <v>100</v>
      </c>
      <c r="B27" s="8" t="s">
        <v>80</v>
      </c>
      <c r="C27" s="7" t="s">
        <v>57</v>
      </c>
      <c r="D27" s="12">
        <v>2265.5210999999999</v>
      </c>
    </row>
    <row r="28" spans="1:4" x14ac:dyDescent="0.3">
      <c r="A28" s="8" t="s">
        <v>100</v>
      </c>
      <c r="B28" s="8" t="s">
        <v>80</v>
      </c>
      <c r="C28" s="7" t="s">
        <v>95</v>
      </c>
      <c r="D28" s="12">
        <v>4800</v>
      </c>
    </row>
    <row r="29" spans="1:4" x14ac:dyDescent="0.3">
      <c r="A29" s="8" t="s">
        <v>100</v>
      </c>
      <c r="B29" s="8" t="s">
        <v>80</v>
      </c>
      <c r="C29" s="7" t="s">
        <v>58</v>
      </c>
      <c r="D29" s="12">
        <v>109618.41</v>
      </c>
    </row>
    <row r="30" spans="1:4" x14ac:dyDescent="0.3">
      <c r="A30" s="8" t="s">
        <v>100</v>
      </c>
      <c r="B30" s="8" t="s">
        <v>80</v>
      </c>
      <c r="C30" s="7" t="s">
        <v>93</v>
      </c>
      <c r="D30" s="12">
        <v>13400</v>
      </c>
    </row>
    <row r="31" spans="1:4" x14ac:dyDescent="0.3">
      <c r="A31" s="8" t="s">
        <v>100</v>
      </c>
      <c r="B31" s="8" t="s">
        <v>78</v>
      </c>
      <c r="C31" s="7" t="s">
        <v>95</v>
      </c>
      <c r="D31" s="12">
        <v>4560</v>
      </c>
    </row>
    <row r="32" spans="1:4" x14ac:dyDescent="0.3">
      <c r="A32" s="8" t="s">
        <v>100</v>
      </c>
      <c r="B32" s="8" t="s">
        <v>78</v>
      </c>
      <c r="C32" s="7" t="s">
        <v>58</v>
      </c>
      <c r="D32" s="12">
        <v>13374</v>
      </c>
    </row>
    <row r="33" spans="1:4" x14ac:dyDescent="0.3">
      <c r="A33" s="8" t="s">
        <v>100</v>
      </c>
      <c r="B33" s="8" t="s">
        <v>78</v>
      </c>
      <c r="C33" s="7" t="s">
        <v>93</v>
      </c>
      <c r="D33" s="12">
        <v>400059.18400000001</v>
      </c>
    </row>
    <row r="34" spans="1:4" x14ac:dyDescent="0.3">
      <c r="A34" s="8" t="s">
        <v>100</v>
      </c>
      <c r="B34" s="8" t="s">
        <v>78</v>
      </c>
      <c r="C34" s="7" t="s">
        <v>57</v>
      </c>
      <c r="D34" s="12">
        <v>15840</v>
      </c>
    </row>
    <row r="35" spans="1:4" x14ac:dyDescent="0.3">
      <c r="A35" s="8" t="s">
        <v>100</v>
      </c>
      <c r="B35" s="8" t="s">
        <v>79</v>
      </c>
      <c r="C35" s="7" t="s">
        <v>57</v>
      </c>
      <c r="D35" s="12">
        <v>5800</v>
      </c>
    </row>
    <row r="36" spans="1:4" x14ac:dyDescent="0.3">
      <c r="A36" s="8" t="s">
        <v>100</v>
      </c>
      <c r="B36" s="8" t="s">
        <v>79</v>
      </c>
      <c r="C36" s="7" t="s">
        <v>95</v>
      </c>
      <c r="D36" s="12">
        <v>1540</v>
      </c>
    </row>
    <row r="37" spans="1:4" x14ac:dyDescent="0.3">
      <c r="A37" s="8" t="s">
        <v>100</v>
      </c>
      <c r="B37" s="8" t="s">
        <v>79</v>
      </c>
      <c r="C37" s="7" t="s">
        <v>58</v>
      </c>
      <c r="D37" s="12">
        <v>581666.47340000002</v>
      </c>
    </row>
    <row r="38" spans="1:4" x14ac:dyDescent="0.3">
      <c r="A38" s="8" t="s">
        <v>100</v>
      </c>
      <c r="B38" s="8" t="s">
        <v>79</v>
      </c>
      <c r="C38" s="7" t="s">
        <v>93</v>
      </c>
      <c r="D38" s="12">
        <v>789440.55769999989</v>
      </c>
    </row>
    <row r="39" spans="1:4" x14ac:dyDescent="0.3">
      <c r="A39" s="8" t="s">
        <v>99</v>
      </c>
      <c r="B39" s="8" t="s">
        <v>72</v>
      </c>
      <c r="C39" s="7" t="s">
        <v>93</v>
      </c>
      <c r="D39" s="12">
        <v>224244.43780000001</v>
      </c>
    </row>
    <row r="40" spans="1:4" x14ac:dyDescent="0.3">
      <c r="A40" s="8" t="s">
        <v>99</v>
      </c>
      <c r="B40" s="8" t="s">
        <v>72</v>
      </c>
      <c r="C40" s="7" t="s">
        <v>58</v>
      </c>
      <c r="D40" s="12">
        <v>150050</v>
      </c>
    </row>
    <row r="41" spans="1:4" x14ac:dyDescent="0.3">
      <c r="A41" s="8" t="s">
        <v>99</v>
      </c>
      <c r="B41" s="8" t="s">
        <v>72</v>
      </c>
      <c r="C41" s="7" t="s">
        <v>57</v>
      </c>
      <c r="D41" s="12">
        <v>22950</v>
      </c>
    </row>
    <row r="42" spans="1:4" x14ac:dyDescent="0.3">
      <c r="A42" s="8" t="s">
        <v>99</v>
      </c>
      <c r="B42" s="8" t="s">
        <v>72</v>
      </c>
      <c r="C42" s="7" t="s">
        <v>95</v>
      </c>
      <c r="D42" s="12">
        <v>15000</v>
      </c>
    </row>
    <row r="43" spans="1:4" x14ac:dyDescent="0.3">
      <c r="A43" s="8" t="s">
        <v>99</v>
      </c>
      <c r="B43" s="8" t="s">
        <v>77</v>
      </c>
      <c r="C43" s="7" t="s">
        <v>58</v>
      </c>
      <c r="D43" s="12">
        <v>18262.052199999998</v>
      </c>
    </row>
    <row r="44" spans="1:4" x14ac:dyDescent="0.3">
      <c r="A44" s="8" t="s">
        <v>99</v>
      </c>
      <c r="B44" s="8" t="s">
        <v>77</v>
      </c>
      <c r="C44" s="7" t="s">
        <v>57</v>
      </c>
      <c r="D44" s="12">
        <v>4500</v>
      </c>
    </row>
    <row r="45" spans="1:4" x14ac:dyDescent="0.3">
      <c r="A45" s="8" t="s">
        <v>99</v>
      </c>
      <c r="B45" s="8" t="s">
        <v>77</v>
      </c>
      <c r="C45" s="7" t="s">
        <v>95</v>
      </c>
      <c r="D45" s="12">
        <v>1500</v>
      </c>
    </row>
    <row r="46" spans="1:4" x14ac:dyDescent="0.3">
      <c r="A46" s="8" t="s">
        <v>99</v>
      </c>
      <c r="B46" s="8" t="s">
        <v>77</v>
      </c>
      <c r="C46" s="7" t="s">
        <v>93</v>
      </c>
      <c r="D46" s="12">
        <v>109618.41</v>
      </c>
    </row>
    <row r="47" spans="1:4" x14ac:dyDescent="0.3">
      <c r="A47" s="8" t="s">
        <v>99</v>
      </c>
      <c r="B47" s="8" t="s">
        <v>80</v>
      </c>
      <c r="C47" s="7" t="s">
        <v>57</v>
      </c>
      <c r="D47" s="12">
        <v>1340</v>
      </c>
    </row>
    <row r="48" spans="1:4" x14ac:dyDescent="0.3">
      <c r="A48" s="8" t="s">
        <v>99</v>
      </c>
      <c r="B48" s="8" t="s">
        <v>80</v>
      </c>
      <c r="C48" s="7" t="s">
        <v>58</v>
      </c>
      <c r="D48" s="12">
        <v>45665.61</v>
      </c>
    </row>
    <row r="49" spans="1:4" x14ac:dyDescent="0.3">
      <c r="A49" s="8" t="s">
        <v>99</v>
      </c>
      <c r="B49" s="8" t="s">
        <v>80</v>
      </c>
      <c r="C49" s="7" t="s">
        <v>95</v>
      </c>
      <c r="D49" s="12">
        <v>4500</v>
      </c>
    </row>
    <row r="50" spans="1:4" x14ac:dyDescent="0.3">
      <c r="A50" s="8" t="s">
        <v>99</v>
      </c>
      <c r="B50" s="8" t="s">
        <v>80</v>
      </c>
      <c r="C50" s="7" t="s">
        <v>93</v>
      </c>
      <c r="D50" s="12">
        <v>19868.408100000001</v>
      </c>
    </row>
    <row r="51" spans="1:4" x14ac:dyDescent="0.3">
      <c r="A51" s="8" t="s">
        <v>99</v>
      </c>
      <c r="B51" s="8" t="s">
        <v>78</v>
      </c>
      <c r="C51" s="7" t="s">
        <v>57</v>
      </c>
      <c r="D51" s="12">
        <v>10346</v>
      </c>
    </row>
    <row r="52" spans="1:4" x14ac:dyDescent="0.3">
      <c r="A52" s="8" t="s">
        <v>99</v>
      </c>
      <c r="B52" s="8" t="s">
        <v>78</v>
      </c>
      <c r="C52" s="7" t="s">
        <v>58</v>
      </c>
      <c r="D52" s="12">
        <v>15055</v>
      </c>
    </row>
    <row r="53" spans="1:4" x14ac:dyDescent="0.3">
      <c r="A53" s="8" t="s">
        <v>99</v>
      </c>
      <c r="B53" s="8" t="s">
        <v>78</v>
      </c>
      <c r="C53" s="7" t="s">
        <v>95</v>
      </c>
      <c r="D53" s="12">
        <v>10104.540000000001</v>
      </c>
    </row>
    <row r="54" spans="1:4" x14ac:dyDescent="0.3">
      <c r="A54" s="8" t="s">
        <v>99</v>
      </c>
      <c r="B54" s="8" t="s">
        <v>78</v>
      </c>
      <c r="C54" s="7" t="s">
        <v>93</v>
      </c>
      <c r="D54" s="12">
        <v>38979.160000000003</v>
      </c>
    </row>
    <row r="55" spans="1:4" x14ac:dyDescent="0.3">
      <c r="A55" s="8" t="s">
        <v>99</v>
      </c>
      <c r="B55" s="8" t="s">
        <v>79</v>
      </c>
      <c r="C55" s="7" t="s">
        <v>57</v>
      </c>
      <c r="D55" s="12">
        <v>36525.252999999997</v>
      </c>
    </row>
    <row r="56" spans="1:4" x14ac:dyDescent="0.3">
      <c r="A56" s="8" t="s">
        <v>99</v>
      </c>
      <c r="B56" s="8" t="s">
        <v>79</v>
      </c>
      <c r="C56" s="7" t="s">
        <v>95</v>
      </c>
      <c r="D56" s="12">
        <v>5640</v>
      </c>
    </row>
    <row r="57" spans="1:4" x14ac:dyDescent="0.3">
      <c r="A57" s="8" t="s">
        <v>99</v>
      </c>
      <c r="B57" s="8" t="s">
        <v>79</v>
      </c>
      <c r="C57" s="7" t="s">
        <v>58</v>
      </c>
      <c r="D57" s="12">
        <v>50750</v>
      </c>
    </row>
    <row r="58" spans="1:4" x14ac:dyDescent="0.3">
      <c r="A58" s="8" t="s">
        <v>99</v>
      </c>
      <c r="B58" s="8" t="s">
        <v>79</v>
      </c>
      <c r="C58" s="7" t="s">
        <v>93</v>
      </c>
      <c r="D58" s="12">
        <v>12450</v>
      </c>
    </row>
    <row r="59" spans="1:4" x14ac:dyDescent="0.3">
      <c r="A59" s="8" t="s">
        <v>98</v>
      </c>
      <c r="B59" s="8" t="s">
        <v>77</v>
      </c>
      <c r="C59" s="7" t="s">
        <v>93</v>
      </c>
      <c r="D59" s="12">
        <v>4378.75</v>
      </c>
    </row>
    <row r="60" spans="1:4" x14ac:dyDescent="0.3">
      <c r="A60" s="8" t="s">
        <v>98</v>
      </c>
      <c r="B60" s="8" t="s">
        <v>77</v>
      </c>
      <c r="C60" s="7" t="s">
        <v>57</v>
      </c>
      <c r="D60" s="12">
        <v>6850</v>
      </c>
    </row>
    <row r="61" spans="1:4" x14ac:dyDescent="0.3">
      <c r="A61" s="8" t="s">
        <v>98</v>
      </c>
      <c r="B61" s="8" t="s">
        <v>77</v>
      </c>
      <c r="C61" s="7" t="s">
        <v>95</v>
      </c>
      <c r="D61" s="12">
        <v>1580</v>
      </c>
    </row>
    <row r="62" spans="1:4" x14ac:dyDescent="0.3">
      <c r="A62" s="8" t="s">
        <v>98</v>
      </c>
      <c r="B62" s="8" t="s">
        <v>80</v>
      </c>
      <c r="C62" s="7" t="s">
        <v>57</v>
      </c>
      <c r="D62" s="12">
        <v>21473</v>
      </c>
    </row>
    <row r="63" spans="1:4" x14ac:dyDescent="0.3">
      <c r="A63" s="8" t="s">
        <v>98</v>
      </c>
      <c r="B63" s="8" t="s">
        <v>80</v>
      </c>
      <c r="C63" s="7" t="s">
        <v>95</v>
      </c>
      <c r="D63" s="12">
        <v>9827.1664999999994</v>
      </c>
    </row>
    <row r="64" spans="1:4" x14ac:dyDescent="0.3">
      <c r="A64" s="8" t="s">
        <v>98</v>
      </c>
      <c r="B64" s="8" t="s">
        <v>80</v>
      </c>
      <c r="C64" s="7" t="s">
        <v>58</v>
      </c>
      <c r="D64" s="12">
        <v>155441.96</v>
      </c>
    </row>
    <row r="65" spans="1:4" x14ac:dyDescent="0.3">
      <c r="A65" s="8" t="s">
        <v>98</v>
      </c>
      <c r="B65" s="8" t="s">
        <v>80</v>
      </c>
      <c r="C65" s="7" t="s">
        <v>93</v>
      </c>
      <c r="D65" s="12">
        <v>100520</v>
      </c>
    </row>
    <row r="66" spans="1:4" x14ac:dyDescent="0.3">
      <c r="A66" s="8" t="s">
        <v>98</v>
      </c>
      <c r="B66" s="8" t="s">
        <v>78</v>
      </c>
      <c r="C66" s="7" t="s">
        <v>57</v>
      </c>
      <c r="D66" s="12">
        <v>25648</v>
      </c>
    </row>
    <row r="67" spans="1:4" x14ac:dyDescent="0.3">
      <c r="A67" s="8" t="s">
        <v>98</v>
      </c>
      <c r="B67" s="8" t="s">
        <v>78</v>
      </c>
      <c r="C67" s="7" t="s">
        <v>58</v>
      </c>
      <c r="D67" s="12">
        <v>183396.28</v>
      </c>
    </row>
    <row r="68" spans="1:4" x14ac:dyDescent="0.3">
      <c r="A68" s="8" t="s">
        <v>98</v>
      </c>
      <c r="B68" s="8" t="s">
        <v>78</v>
      </c>
      <c r="C68" s="7" t="s">
        <v>95</v>
      </c>
      <c r="D68" s="12">
        <v>2532.09</v>
      </c>
    </row>
    <row r="69" spans="1:4" x14ac:dyDescent="0.3">
      <c r="A69" s="8" t="s">
        <v>98</v>
      </c>
      <c r="B69" s="8" t="s">
        <v>78</v>
      </c>
      <c r="C69" s="7" t="s">
        <v>93</v>
      </c>
      <c r="D69" s="12">
        <v>34433.85</v>
      </c>
    </row>
    <row r="70" spans="1:4" x14ac:dyDescent="0.3">
      <c r="A70" s="8" t="s">
        <v>98</v>
      </c>
      <c r="B70" s="8" t="s">
        <v>79</v>
      </c>
      <c r="C70" s="7" t="s">
        <v>57</v>
      </c>
      <c r="D70" s="12">
        <v>16752.377899999999</v>
      </c>
    </row>
    <row r="71" spans="1:4" x14ac:dyDescent="0.3">
      <c r="A71" s="8" t="s">
        <v>98</v>
      </c>
      <c r="B71" s="8" t="s">
        <v>79</v>
      </c>
      <c r="C71" s="7" t="s">
        <v>58</v>
      </c>
      <c r="D71" s="12">
        <v>16580</v>
      </c>
    </row>
    <row r="72" spans="1:4" x14ac:dyDescent="0.3">
      <c r="A72" s="8" t="s">
        <v>98</v>
      </c>
      <c r="B72" s="8" t="s">
        <v>79</v>
      </c>
      <c r="C72" s="7" t="s">
        <v>95</v>
      </c>
      <c r="D72" s="12">
        <v>2510</v>
      </c>
    </row>
    <row r="73" spans="1:4" x14ac:dyDescent="0.3">
      <c r="A73" s="8" t="s">
        <v>98</v>
      </c>
      <c r="B73" s="8" t="s">
        <v>79</v>
      </c>
      <c r="C73" s="7" t="s">
        <v>93</v>
      </c>
      <c r="D73" s="12">
        <v>3673.6</v>
      </c>
    </row>
    <row r="74" spans="1:4" x14ac:dyDescent="0.3">
      <c r="A74" s="8" t="s">
        <v>97</v>
      </c>
      <c r="B74" s="8" t="s">
        <v>72</v>
      </c>
      <c r="C74" s="7" t="s">
        <v>95</v>
      </c>
      <c r="D74" s="12">
        <v>12720</v>
      </c>
    </row>
    <row r="75" spans="1:4" x14ac:dyDescent="0.3">
      <c r="A75" s="8" t="s">
        <v>97</v>
      </c>
      <c r="B75" s="8" t="s">
        <v>72</v>
      </c>
      <c r="C75" s="7" t="s">
        <v>95</v>
      </c>
      <c r="D75" s="12">
        <v>15348.3673</v>
      </c>
    </row>
    <row r="76" spans="1:4" x14ac:dyDescent="0.3">
      <c r="A76" s="8" t="s">
        <v>97</v>
      </c>
      <c r="B76" s="8" t="s">
        <v>77</v>
      </c>
      <c r="C76" s="7" t="s">
        <v>57</v>
      </c>
      <c r="D76" s="12">
        <v>28237.23</v>
      </c>
    </row>
    <row r="77" spans="1:4" x14ac:dyDescent="0.3">
      <c r="A77" s="8" t="s">
        <v>97</v>
      </c>
      <c r="B77" s="8" t="s">
        <v>77</v>
      </c>
      <c r="C77" s="7" t="s">
        <v>58</v>
      </c>
      <c r="D77" s="12">
        <v>5625.58</v>
      </c>
    </row>
    <row r="78" spans="1:4" x14ac:dyDescent="0.3">
      <c r="A78" s="8" t="s">
        <v>97</v>
      </c>
      <c r="B78" s="8" t="s">
        <v>77</v>
      </c>
      <c r="C78" s="7" t="s">
        <v>93</v>
      </c>
      <c r="D78" s="12">
        <v>4378.75</v>
      </c>
    </row>
    <row r="79" spans="1:4" x14ac:dyDescent="0.3">
      <c r="A79" s="8" t="s">
        <v>97</v>
      </c>
      <c r="B79" s="8" t="s">
        <v>80</v>
      </c>
      <c r="C79" s="7" t="s">
        <v>57</v>
      </c>
      <c r="D79" s="12">
        <v>2666</v>
      </c>
    </row>
    <row r="80" spans="1:4" x14ac:dyDescent="0.3">
      <c r="A80" s="8" t="s">
        <v>97</v>
      </c>
      <c r="B80" s="8" t="s">
        <v>80</v>
      </c>
      <c r="C80" s="7" t="s">
        <v>95</v>
      </c>
      <c r="D80" s="12">
        <v>7491.7304000000004</v>
      </c>
    </row>
    <row r="81" spans="1:5" x14ac:dyDescent="0.3">
      <c r="A81" s="8" t="s">
        <v>97</v>
      </c>
      <c r="B81" s="8" t="s">
        <v>80</v>
      </c>
      <c r="C81" s="7" t="s">
        <v>58</v>
      </c>
      <c r="D81" s="12">
        <v>124000</v>
      </c>
    </row>
    <row r="82" spans="1:5" x14ac:dyDescent="0.3">
      <c r="A82" s="8" t="s">
        <v>97</v>
      </c>
      <c r="B82" s="8" t="s">
        <v>80</v>
      </c>
      <c r="C82" s="7" t="s">
        <v>93</v>
      </c>
      <c r="D82" s="12">
        <v>38262</v>
      </c>
    </row>
    <row r="83" spans="1:5" x14ac:dyDescent="0.3">
      <c r="A83" s="8" t="s">
        <v>97</v>
      </c>
      <c r="B83" s="8" t="s">
        <v>78</v>
      </c>
      <c r="C83" s="7" t="s">
        <v>57</v>
      </c>
      <c r="D83" s="12">
        <v>31530</v>
      </c>
    </row>
    <row r="84" spans="1:5" x14ac:dyDescent="0.3">
      <c r="A84" s="8" t="s">
        <v>97</v>
      </c>
      <c r="B84" s="8" t="s">
        <v>78</v>
      </c>
      <c r="C84" s="7" t="s">
        <v>58</v>
      </c>
      <c r="D84" s="12">
        <v>72000</v>
      </c>
    </row>
    <row r="85" spans="1:5" x14ac:dyDescent="0.3">
      <c r="A85" s="8" t="s">
        <v>97</v>
      </c>
      <c r="B85" s="8" t="s">
        <v>78</v>
      </c>
      <c r="C85" s="7" t="s">
        <v>95</v>
      </c>
      <c r="D85" s="12">
        <v>13400</v>
      </c>
    </row>
    <row r="86" spans="1:5" x14ac:dyDescent="0.3">
      <c r="A86" s="8" t="s">
        <v>97</v>
      </c>
      <c r="B86" s="8" t="s">
        <v>78</v>
      </c>
      <c r="C86" s="7" t="s">
        <v>93</v>
      </c>
      <c r="D86" s="12">
        <v>45665.61</v>
      </c>
    </row>
    <row r="87" spans="1:5" x14ac:dyDescent="0.3">
      <c r="A87" s="8" t="s">
        <v>97</v>
      </c>
      <c r="B87" s="8" t="s">
        <v>79</v>
      </c>
      <c r="C87" s="7" t="s">
        <v>57</v>
      </c>
      <c r="D87" s="12">
        <v>17200</v>
      </c>
    </row>
    <row r="88" spans="1:5" x14ac:dyDescent="0.3">
      <c r="A88" s="8" t="s">
        <v>97</v>
      </c>
      <c r="B88" s="8" t="s">
        <v>79</v>
      </c>
      <c r="C88" s="7" t="s">
        <v>95</v>
      </c>
      <c r="D88" s="12">
        <v>18420</v>
      </c>
    </row>
    <row r="89" spans="1:5" x14ac:dyDescent="0.3">
      <c r="A89" s="8" t="s">
        <v>97</v>
      </c>
      <c r="B89" s="8" t="s">
        <v>79</v>
      </c>
      <c r="C89" s="7" t="s">
        <v>58</v>
      </c>
      <c r="D89" s="12">
        <v>31110.5998</v>
      </c>
    </row>
    <row r="90" spans="1:5" x14ac:dyDescent="0.3">
      <c r="A90" s="8" t="s">
        <v>97</v>
      </c>
      <c r="B90" s="8" t="s">
        <v>79</v>
      </c>
      <c r="C90" s="7" t="s">
        <v>93</v>
      </c>
      <c r="D90" s="12">
        <v>416967.772</v>
      </c>
    </row>
    <row r="91" spans="1:5" x14ac:dyDescent="0.3">
      <c r="A91" s="8" t="s">
        <v>96</v>
      </c>
      <c r="B91" s="8" t="s">
        <v>77</v>
      </c>
      <c r="C91" s="7" t="s">
        <v>95</v>
      </c>
      <c r="D91" s="12">
        <v>11456.1</v>
      </c>
    </row>
    <row r="92" spans="1:5" x14ac:dyDescent="0.3">
      <c r="A92" s="8" t="s">
        <v>96</v>
      </c>
      <c r="B92" s="8" t="s">
        <v>77</v>
      </c>
      <c r="C92" s="7" t="s">
        <v>57</v>
      </c>
      <c r="D92" s="12">
        <v>1540</v>
      </c>
    </row>
    <row r="93" spans="1:5" x14ac:dyDescent="0.3">
      <c r="A93" s="8" t="s">
        <v>96</v>
      </c>
      <c r="B93" s="8" t="s">
        <v>78</v>
      </c>
      <c r="C93" s="7" t="s">
        <v>57</v>
      </c>
      <c r="D93" s="12">
        <v>4378.75</v>
      </c>
    </row>
    <row r="94" spans="1:5" x14ac:dyDescent="0.3">
      <c r="A94" s="8" t="s">
        <v>96</v>
      </c>
      <c r="B94" s="8" t="s">
        <v>78</v>
      </c>
      <c r="C94" s="7" t="s">
        <v>93</v>
      </c>
      <c r="D94" s="12">
        <v>11550</v>
      </c>
    </row>
    <row r="95" spans="1:5" x14ac:dyDescent="0.3">
      <c r="A95" s="8" t="s">
        <v>96</v>
      </c>
      <c r="B95" s="8" t="s">
        <v>78</v>
      </c>
      <c r="C95" s="7" t="s">
        <v>95</v>
      </c>
      <c r="D95" s="12">
        <v>7723</v>
      </c>
      <c r="E95" s="6">
        <v>7723</v>
      </c>
    </row>
    <row r="96" spans="1:5" x14ac:dyDescent="0.3">
      <c r="A96" s="8" t="s">
        <v>96</v>
      </c>
      <c r="B96" s="8" t="s">
        <v>78</v>
      </c>
      <c r="C96" s="7" t="s">
        <v>58</v>
      </c>
      <c r="D96" s="12">
        <v>17800</v>
      </c>
    </row>
    <row r="97" spans="1:4" x14ac:dyDescent="0.3">
      <c r="A97" s="8" t="s">
        <v>96</v>
      </c>
      <c r="B97" s="8" t="s">
        <v>80</v>
      </c>
      <c r="C97" s="7" t="s">
        <v>57</v>
      </c>
      <c r="D97" s="12">
        <v>3147.2910999999999</v>
      </c>
    </row>
    <row r="98" spans="1:4" x14ac:dyDescent="0.3">
      <c r="A98" s="8" t="s">
        <v>96</v>
      </c>
      <c r="B98" s="8" t="s">
        <v>80</v>
      </c>
      <c r="C98" s="7" t="s">
        <v>95</v>
      </c>
      <c r="D98" s="12">
        <v>1250</v>
      </c>
    </row>
    <row r="99" spans="1:4" x14ac:dyDescent="0.3">
      <c r="A99" s="8" t="s">
        <v>96</v>
      </c>
      <c r="B99" s="8" t="s">
        <v>80</v>
      </c>
      <c r="C99" s="7" t="s">
        <v>93</v>
      </c>
      <c r="D99" s="12">
        <v>22000</v>
      </c>
    </row>
    <row r="100" spans="1:4" x14ac:dyDescent="0.3">
      <c r="A100" s="8" t="s">
        <v>96</v>
      </c>
      <c r="B100" s="8" t="s">
        <v>80</v>
      </c>
      <c r="C100" s="7" t="s">
        <v>58</v>
      </c>
      <c r="D100" s="12">
        <v>9550.4519999999993</v>
      </c>
    </row>
    <row r="101" spans="1:4" x14ac:dyDescent="0.3">
      <c r="A101" s="8" t="s">
        <v>96</v>
      </c>
      <c r="B101" s="8" t="s">
        <v>79</v>
      </c>
      <c r="C101" s="7" t="s">
        <v>57</v>
      </c>
      <c r="D101" s="12">
        <v>25400</v>
      </c>
    </row>
    <row r="102" spans="1:4" x14ac:dyDescent="0.3">
      <c r="A102" s="8" t="s">
        <v>96</v>
      </c>
      <c r="B102" s="8" t="s">
        <v>79</v>
      </c>
      <c r="C102" s="7" t="s">
        <v>95</v>
      </c>
      <c r="D102" s="12">
        <v>6996</v>
      </c>
    </row>
    <row r="103" spans="1:4" x14ac:dyDescent="0.3">
      <c r="A103" s="8" t="s">
        <v>96</v>
      </c>
      <c r="B103" s="8" t="s">
        <v>79</v>
      </c>
      <c r="C103" s="7" t="s">
        <v>58</v>
      </c>
      <c r="D103" s="12">
        <v>85000</v>
      </c>
    </row>
    <row r="104" spans="1:4" x14ac:dyDescent="0.3">
      <c r="A104" s="8" t="s">
        <v>96</v>
      </c>
      <c r="B104" s="8" t="s">
        <v>79</v>
      </c>
      <c r="C104" s="7" t="s">
        <v>93</v>
      </c>
      <c r="D104" s="12">
        <v>274065.3456</v>
      </c>
    </row>
    <row r="105" spans="1:4" x14ac:dyDescent="0.3">
      <c r="A105" s="8" t="s">
        <v>94</v>
      </c>
      <c r="B105" s="8" t="s">
        <v>72</v>
      </c>
      <c r="C105" s="7" t="s">
        <v>95</v>
      </c>
      <c r="D105" s="12">
        <v>14760</v>
      </c>
    </row>
    <row r="106" spans="1:4" x14ac:dyDescent="0.3">
      <c r="A106" s="8" t="s">
        <v>94</v>
      </c>
      <c r="B106" s="8" t="s">
        <v>72</v>
      </c>
      <c r="C106" s="7" t="s">
        <v>58</v>
      </c>
      <c r="D106" s="12">
        <v>31110.5998</v>
      </c>
    </row>
    <row r="107" spans="1:4" x14ac:dyDescent="0.3">
      <c r="A107" s="8" t="s">
        <v>94</v>
      </c>
      <c r="B107" s="8" t="s">
        <v>72</v>
      </c>
      <c r="C107" s="7" t="s">
        <v>93</v>
      </c>
      <c r="D107" s="12">
        <v>416967.772</v>
      </c>
    </row>
    <row r="108" spans="1:4" x14ac:dyDescent="0.3">
      <c r="A108" s="8" t="s">
        <v>94</v>
      </c>
      <c r="B108" s="8" t="s">
        <v>72</v>
      </c>
      <c r="C108" s="7" t="s">
        <v>57</v>
      </c>
      <c r="D108" s="12">
        <v>12540</v>
      </c>
    </row>
    <row r="109" spans="1:4" x14ac:dyDescent="0.3">
      <c r="A109" s="8" t="s">
        <v>94</v>
      </c>
      <c r="B109" s="8" t="s">
        <v>79</v>
      </c>
      <c r="C109" s="7" t="s">
        <v>57</v>
      </c>
      <c r="D109" s="12">
        <v>7100</v>
      </c>
    </row>
    <row r="110" spans="1:4" x14ac:dyDescent="0.3">
      <c r="A110" s="8" t="s">
        <v>94</v>
      </c>
      <c r="B110" s="8" t="s">
        <v>79</v>
      </c>
      <c r="C110" s="7" t="s">
        <v>93</v>
      </c>
      <c r="D110" s="12">
        <v>48000</v>
      </c>
    </row>
    <row r="111" spans="1:4" x14ac:dyDescent="0.3">
      <c r="A111" s="8" t="s">
        <v>94</v>
      </c>
      <c r="B111" s="8" t="s">
        <v>79</v>
      </c>
      <c r="C111" s="7" t="s">
        <v>58</v>
      </c>
      <c r="D111" s="12">
        <v>71000</v>
      </c>
    </row>
    <row r="112" spans="1:4" x14ac:dyDescent="0.3">
      <c r="A112" s="8" t="s">
        <v>94</v>
      </c>
      <c r="B112" s="8" t="s">
        <v>79</v>
      </c>
      <c r="C112" s="7" t="s">
        <v>95</v>
      </c>
      <c r="D112" s="12">
        <v>11456.1</v>
      </c>
    </row>
    <row r="113" spans="1:4" x14ac:dyDescent="0.3">
      <c r="A113" s="8" t="s">
        <v>94</v>
      </c>
      <c r="B113" s="8" t="s">
        <v>80</v>
      </c>
      <c r="C113" s="7" t="s">
        <v>95</v>
      </c>
      <c r="D113" s="12">
        <v>4378.75</v>
      </c>
    </row>
    <row r="114" spans="1:4" x14ac:dyDescent="0.3">
      <c r="A114" s="8" t="s">
        <v>94</v>
      </c>
      <c r="B114" s="8" t="s">
        <v>80</v>
      </c>
      <c r="C114" s="7" t="s">
        <v>57</v>
      </c>
      <c r="D114" s="12">
        <v>10000</v>
      </c>
    </row>
    <row r="115" spans="1:4" x14ac:dyDescent="0.3">
      <c r="A115" s="8" t="s">
        <v>94</v>
      </c>
      <c r="B115" s="8" t="s">
        <v>80</v>
      </c>
      <c r="C115" s="7" t="s">
        <v>58</v>
      </c>
      <c r="D115" s="12">
        <v>47477.541599999997</v>
      </c>
    </row>
    <row r="116" spans="1:4" x14ac:dyDescent="0.3">
      <c r="A116" s="8" t="s">
        <v>94</v>
      </c>
      <c r="B116" s="8" t="s">
        <v>80</v>
      </c>
      <c r="C116" s="7" t="s">
        <v>93</v>
      </c>
      <c r="D116" s="12">
        <v>7722.5645999999997</v>
      </c>
    </row>
    <row r="117" spans="1:4" x14ac:dyDescent="0.3">
      <c r="A117" s="8" t="s">
        <v>94</v>
      </c>
      <c r="B117" s="8" t="s">
        <v>78</v>
      </c>
      <c r="C117" s="7" t="s">
        <v>57</v>
      </c>
      <c r="D117" s="12">
        <v>3147.2910999999999</v>
      </c>
    </row>
    <row r="118" spans="1:4" x14ac:dyDescent="0.3">
      <c r="A118" s="8" t="s">
        <v>94</v>
      </c>
      <c r="B118" s="8" t="s">
        <v>78</v>
      </c>
      <c r="C118" s="7" t="s">
        <v>93</v>
      </c>
      <c r="D118" s="12">
        <v>22000</v>
      </c>
    </row>
    <row r="119" spans="1:4" x14ac:dyDescent="0.3">
      <c r="A119" s="8" t="s">
        <v>94</v>
      </c>
      <c r="B119" s="8" t="s">
        <v>78</v>
      </c>
      <c r="C119" s="7" t="s">
        <v>95</v>
      </c>
      <c r="D119" s="12">
        <v>9550</v>
      </c>
    </row>
    <row r="120" spans="1:4" x14ac:dyDescent="0.3">
      <c r="A120" s="8" t="s">
        <v>94</v>
      </c>
      <c r="B120" s="8" t="s">
        <v>78</v>
      </c>
      <c r="C120" s="7" t="s">
        <v>58</v>
      </c>
      <c r="D120" s="12">
        <v>18522</v>
      </c>
    </row>
    <row r="121" spans="1:4" x14ac:dyDescent="0.3">
      <c r="A121" s="8" t="s">
        <v>94</v>
      </c>
      <c r="B121" s="8" t="s">
        <v>77</v>
      </c>
      <c r="C121" s="7" t="s">
        <v>57</v>
      </c>
      <c r="D121" s="12">
        <v>1544</v>
      </c>
    </row>
    <row r="122" spans="1:4" x14ac:dyDescent="0.3">
      <c r="A122" s="8" t="s">
        <v>94</v>
      </c>
      <c r="B122" s="8" t="s">
        <v>77</v>
      </c>
      <c r="C122" s="7" t="s">
        <v>95</v>
      </c>
      <c r="D122" s="12">
        <v>7500</v>
      </c>
    </row>
    <row r="123" spans="1:4" x14ac:dyDescent="0.3">
      <c r="A123" s="8" t="s">
        <v>94</v>
      </c>
      <c r="B123" s="8" t="s">
        <v>77</v>
      </c>
      <c r="C123" s="7" t="s">
        <v>58</v>
      </c>
      <c r="D123" s="12">
        <v>15444</v>
      </c>
    </row>
    <row r="124" spans="1:4" x14ac:dyDescent="0.3">
      <c r="A124" s="8" t="s">
        <v>94</v>
      </c>
      <c r="B124" s="8" t="s">
        <v>77</v>
      </c>
      <c r="C124" s="7" t="s">
        <v>93</v>
      </c>
      <c r="D124" s="12">
        <v>5750</v>
      </c>
    </row>
  </sheetData>
  <autoFilter ref="A1:D124" xr:uid="{79E50A6F-86CF-41D8-A983-B0AC39B4DD88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4C39F-838C-4643-976C-4B3E0B3B3C7E}">
  <dimension ref="A1:H45"/>
  <sheetViews>
    <sheetView tabSelected="1" workbookViewId="0">
      <selection sqref="A1:H1"/>
    </sheetView>
  </sheetViews>
  <sheetFormatPr baseColWidth="10" defaultRowHeight="14.4" x14ac:dyDescent="0.3"/>
  <cols>
    <col min="2" max="2" width="56.21875" customWidth="1"/>
    <col min="3" max="3" width="24.109375" customWidth="1"/>
    <col min="4" max="5" width="21.88671875" customWidth="1"/>
    <col min="6" max="6" width="10.21875" bestFit="1" customWidth="1"/>
    <col min="7" max="7" width="12" bestFit="1" customWidth="1"/>
  </cols>
  <sheetData>
    <row r="1" spans="1:8" x14ac:dyDescent="0.3">
      <c r="A1" t="s">
        <v>0</v>
      </c>
      <c r="B1" s="3" t="s">
        <v>1</v>
      </c>
      <c r="C1" s="3" t="s">
        <v>82</v>
      </c>
      <c r="D1" s="3" t="s">
        <v>83</v>
      </c>
      <c r="E1" s="3" t="s">
        <v>65</v>
      </c>
      <c r="F1" s="3" t="s">
        <v>71</v>
      </c>
      <c r="G1" s="3" t="s">
        <v>81</v>
      </c>
      <c r="H1" s="13" t="s">
        <v>115</v>
      </c>
    </row>
    <row r="2" spans="1:8" x14ac:dyDescent="0.3">
      <c r="A2" t="s">
        <v>125</v>
      </c>
      <c r="B2" s="1" t="s">
        <v>2</v>
      </c>
      <c r="C2" s="1" t="s">
        <v>84</v>
      </c>
      <c r="D2" s="1" t="s">
        <v>55</v>
      </c>
      <c r="E2" s="1" t="s">
        <v>66</v>
      </c>
      <c r="F2" s="1" t="s">
        <v>72</v>
      </c>
      <c r="G2" s="1">
        <v>2900</v>
      </c>
      <c r="H2" t="s">
        <v>120</v>
      </c>
    </row>
    <row r="3" spans="1:8" x14ac:dyDescent="0.3">
      <c r="A3" t="s">
        <v>125</v>
      </c>
      <c r="B3" s="1" t="s">
        <v>3</v>
      </c>
      <c r="C3" s="1" t="s">
        <v>85</v>
      </c>
      <c r="D3" s="1" t="s">
        <v>85</v>
      </c>
      <c r="E3" s="1" t="s">
        <v>69</v>
      </c>
      <c r="F3" s="1" t="s">
        <v>72</v>
      </c>
      <c r="G3" s="1">
        <v>186</v>
      </c>
      <c r="H3" s="14" t="s">
        <v>117</v>
      </c>
    </row>
    <row r="4" spans="1:8" x14ac:dyDescent="0.3">
      <c r="A4" t="s">
        <v>125</v>
      </c>
      <c r="B4" s="1" t="s">
        <v>4</v>
      </c>
      <c r="C4" s="1" t="s">
        <v>58</v>
      </c>
      <c r="D4" s="1" t="s">
        <v>87</v>
      </c>
      <c r="E4" s="1" t="s">
        <v>70</v>
      </c>
      <c r="F4" s="1" t="s">
        <v>72</v>
      </c>
      <c r="G4" s="4">
        <v>1017</v>
      </c>
      <c r="H4" t="s">
        <v>122</v>
      </c>
    </row>
    <row r="5" spans="1:8" x14ac:dyDescent="0.3">
      <c r="A5" t="s">
        <v>125</v>
      </c>
      <c r="B5" s="1" t="s">
        <v>4</v>
      </c>
      <c r="C5" s="1" t="s">
        <v>84</v>
      </c>
      <c r="D5" s="1" t="s">
        <v>86</v>
      </c>
      <c r="E5" s="1" t="s">
        <v>66</v>
      </c>
      <c r="F5" s="1" t="s">
        <v>72</v>
      </c>
      <c r="G5" s="1">
        <v>1351</v>
      </c>
      <c r="H5" s="14" t="s">
        <v>116</v>
      </c>
    </row>
    <row r="6" spans="1:8" x14ac:dyDescent="0.3">
      <c r="A6" t="s">
        <v>125</v>
      </c>
      <c r="B6" s="1" t="s">
        <v>4</v>
      </c>
      <c r="C6" s="1" t="s">
        <v>84</v>
      </c>
      <c r="D6" s="1" t="s">
        <v>60</v>
      </c>
      <c r="E6" s="1" t="s">
        <v>68</v>
      </c>
      <c r="F6" s="1" t="s">
        <v>72</v>
      </c>
      <c r="G6" s="1">
        <v>560</v>
      </c>
      <c r="H6" t="s">
        <v>120</v>
      </c>
    </row>
    <row r="7" spans="1:8" x14ac:dyDescent="0.3">
      <c r="A7" t="s">
        <v>125</v>
      </c>
      <c r="B7" s="1" t="s">
        <v>4</v>
      </c>
      <c r="C7" s="1" t="s">
        <v>84</v>
      </c>
      <c r="D7" s="1" t="s">
        <v>61</v>
      </c>
      <c r="E7" s="1" t="s">
        <v>69</v>
      </c>
      <c r="F7" s="1" t="s">
        <v>72</v>
      </c>
      <c r="G7" s="1">
        <v>8400</v>
      </c>
      <c r="H7" t="s">
        <v>121</v>
      </c>
    </row>
    <row r="8" spans="1:8" x14ac:dyDescent="0.3">
      <c r="A8" t="s">
        <v>100</v>
      </c>
      <c r="B8" s="1" t="s">
        <v>107</v>
      </c>
      <c r="C8" s="1" t="s">
        <v>58</v>
      </c>
      <c r="D8" s="1" t="s">
        <v>88</v>
      </c>
      <c r="E8" s="1" t="s">
        <v>68</v>
      </c>
      <c r="F8" s="1" t="s">
        <v>72</v>
      </c>
      <c r="G8" s="4">
        <v>3400</v>
      </c>
      <c r="H8" s="14" t="s">
        <v>124</v>
      </c>
    </row>
    <row r="9" spans="1:8" x14ac:dyDescent="0.3">
      <c r="A9" t="s">
        <v>99</v>
      </c>
      <c r="B9" s="1" t="s">
        <v>107</v>
      </c>
      <c r="C9" s="1" t="s">
        <v>84</v>
      </c>
      <c r="D9" s="1" t="s">
        <v>61</v>
      </c>
      <c r="E9" s="1" t="s">
        <v>67</v>
      </c>
      <c r="F9" s="1" t="s">
        <v>72</v>
      </c>
      <c r="G9" s="1">
        <v>5000</v>
      </c>
      <c r="H9" s="14" t="s">
        <v>116</v>
      </c>
    </row>
    <row r="10" spans="1:8" x14ac:dyDescent="0.3">
      <c r="A10" t="s">
        <v>99</v>
      </c>
      <c r="B10" s="1" t="s">
        <v>107</v>
      </c>
      <c r="C10" s="1" t="s">
        <v>84</v>
      </c>
      <c r="D10" s="1" t="s">
        <v>63</v>
      </c>
      <c r="E10" s="1" t="s">
        <v>69</v>
      </c>
      <c r="F10" s="1" t="s">
        <v>72</v>
      </c>
      <c r="G10" s="1">
        <v>2260</v>
      </c>
      <c r="H10" s="14" t="s">
        <v>121</v>
      </c>
    </row>
    <row r="11" spans="1:8" x14ac:dyDescent="0.3">
      <c r="A11" t="s">
        <v>99</v>
      </c>
      <c r="B11" s="1" t="s">
        <v>107</v>
      </c>
      <c r="C11" s="1" t="s">
        <v>84</v>
      </c>
      <c r="D11" s="1" t="s">
        <v>86</v>
      </c>
      <c r="E11" s="1" t="s">
        <v>70</v>
      </c>
      <c r="F11" s="1" t="s">
        <v>72</v>
      </c>
      <c r="G11" s="1">
        <v>3390</v>
      </c>
      <c r="H11" s="14" t="s">
        <v>116</v>
      </c>
    </row>
    <row r="12" spans="1:8" x14ac:dyDescent="0.3">
      <c r="A12" t="s">
        <v>99</v>
      </c>
      <c r="B12" s="1" t="s">
        <v>10</v>
      </c>
      <c r="C12" s="1" t="s">
        <v>57</v>
      </c>
      <c r="D12" s="1" t="s">
        <v>57</v>
      </c>
      <c r="E12" s="1" t="s">
        <v>69</v>
      </c>
      <c r="F12" s="1" t="s">
        <v>72</v>
      </c>
      <c r="G12" s="1">
        <v>1158</v>
      </c>
      <c r="H12" s="14" t="s">
        <v>119</v>
      </c>
    </row>
    <row r="13" spans="1:8" x14ac:dyDescent="0.3">
      <c r="A13" t="s">
        <v>99</v>
      </c>
      <c r="B13" s="1" t="s">
        <v>2</v>
      </c>
      <c r="C13" s="1" t="s">
        <v>58</v>
      </c>
      <c r="D13" s="1" t="s">
        <v>87</v>
      </c>
      <c r="E13" s="1" t="s">
        <v>66</v>
      </c>
      <c r="F13" s="1" t="s">
        <v>72</v>
      </c>
      <c r="G13" s="4">
        <v>5100</v>
      </c>
      <c r="H13" s="14" t="s">
        <v>117</v>
      </c>
    </row>
    <row r="14" spans="1:8" x14ac:dyDescent="0.3">
      <c r="A14" t="s">
        <v>99</v>
      </c>
      <c r="B14" s="1" t="s">
        <v>2</v>
      </c>
      <c r="C14" s="1" t="s">
        <v>85</v>
      </c>
      <c r="D14" s="1" t="s">
        <v>85</v>
      </c>
      <c r="E14" s="1" t="s">
        <v>68</v>
      </c>
      <c r="F14" s="1" t="s">
        <v>72</v>
      </c>
      <c r="G14" s="1">
        <v>474</v>
      </c>
      <c r="H14" s="14" t="s">
        <v>116</v>
      </c>
    </row>
    <row r="15" spans="1:8" x14ac:dyDescent="0.3">
      <c r="A15" t="s">
        <v>99</v>
      </c>
      <c r="B15" s="1" t="s">
        <v>17</v>
      </c>
      <c r="C15" s="1" t="s">
        <v>58</v>
      </c>
      <c r="D15" s="1" t="s">
        <v>91</v>
      </c>
      <c r="E15" s="1" t="s">
        <v>69</v>
      </c>
      <c r="F15" s="1" t="s">
        <v>72</v>
      </c>
      <c r="G15" s="4">
        <v>18000</v>
      </c>
      <c r="H15" s="14" t="s">
        <v>116</v>
      </c>
    </row>
    <row r="16" spans="1:8" x14ac:dyDescent="0.3">
      <c r="A16" t="s">
        <v>98</v>
      </c>
      <c r="B16" s="1" t="s">
        <v>3</v>
      </c>
      <c r="C16" s="1" t="s">
        <v>84</v>
      </c>
      <c r="D16" s="1" t="s">
        <v>61</v>
      </c>
      <c r="E16" s="1" t="s">
        <v>68</v>
      </c>
      <c r="F16" s="1" t="s">
        <v>72</v>
      </c>
      <c r="G16" s="1">
        <v>8900</v>
      </c>
      <c r="H16" s="14" t="s">
        <v>119</v>
      </c>
    </row>
    <row r="17" spans="1:8" x14ac:dyDescent="0.3">
      <c r="A17" t="s">
        <v>98</v>
      </c>
      <c r="B17" s="1" t="s">
        <v>2</v>
      </c>
      <c r="C17" s="1" t="s">
        <v>84</v>
      </c>
      <c r="D17" s="1" t="s">
        <v>63</v>
      </c>
      <c r="E17" s="1" t="s">
        <v>70</v>
      </c>
      <c r="F17" s="1" t="s">
        <v>72</v>
      </c>
      <c r="G17" s="1">
        <v>3300</v>
      </c>
      <c r="H17" s="14" t="s">
        <v>118</v>
      </c>
    </row>
    <row r="18" spans="1:8" x14ac:dyDescent="0.3">
      <c r="A18" t="s">
        <v>98</v>
      </c>
      <c r="B18" s="1" t="s">
        <v>19</v>
      </c>
      <c r="C18" s="1" t="s">
        <v>85</v>
      </c>
      <c r="D18" s="1" t="s">
        <v>85</v>
      </c>
      <c r="E18" s="1" t="s">
        <v>67</v>
      </c>
      <c r="F18" s="1" t="s">
        <v>72</v>
      </c>
      <c r="G18" s="1">
        <v>430</v>
      </c>
      <c r="H18" s="14" t="s">
        <v>117</v>
      </c>
    </row>
    <row r="19" spans="1:8" x14ac:dyDescent="0.3">
      <c r="A19" t="s">
        <v>98</v>
      </c>
      <c r="B19" s="1" t="s">
        <v>17</v>
      </c>
      <c r="C19" s="1" t="s">
        <v>58</v>
      </c>
      <c r="D19" s="1" t="s">
        <v>89</v>
      </c>
      <c r="E19" s="1" t="s">
        <v>68</v>
      </c>
      <c r="F19" s="1" t="s">
        <v>72</v>
      </c>
      <c r="G19" s="4">
        <v>4700</v>
      </c>
      <c r="H19" s="14" t="s">
        <v>116</v>
      </c>
    </row>
    <row r="20" spans="1:8" x14ac:dyDescent="0.3">
      <c r="A20" t="s">
        <v>98</v>
      </c>
      <c r="B20" s="1" t="s">
        <v>22</v>
      </c>
      <c r="C20" s="1" t="s">
        <v>84</v>
      </c>
      <c r="D20" s="1" t="s">
        <v>86</v>
      </c>
      <c r="E20" s="1" t="s">
        <v>69</v>
      </c>
      <c r="F20" s="1" t="s">
        <v>72</v>
      </c>
      <c r="G20" s="1">
        <v>1340</v>
      </c>
      <c r="H20" s="14" t="s">
        <v>116</v>
      </c>
    </row>
    <row r="21" spans="1:8" x14ac:dyDescent="0.3">
      <c r="A21" t="s">
        <v>98</v>
      </c>
      <c r="B21" s="1" t="s">
        <v>23</v>
      </c>
      <c r="C21" s="1" t="s">
        <v>84</v>
      </c>
      <c r="D21" s="1" t="s">
        <v>59</v>
      </c>
      <c r="E21" s="1" t="s">
        <v>70</v>
      </c>
      <c r="F21" s="1" t="s">
        <v>72</v>
      </c>
      <c r="G21" s="1">
        <v>1990</v>
      </c>
      <c r="H21" t="s">
        <v>122</v>
      </c>
    </row>
    <row r="22" spans="1:8" x14ac:dyDescent="0.3">
      <c r="A22" t="s">
        <v>98</v>
      </c>
      <c r="B22" s="1" t="s">
        <v>25</v>
      </c>
      <c r="C22" s="1" t="s">
        <v>84</v>
      </c>
      <c r="D22" s="1" t="s">
        <v>62</v>
      </c>
      <c r="E22" s="1" t="s">
        <v>75</v>
      </c>
      <c r="F22" s="1" t="s">
        <v>79</v>
      </c>
      <c r="G22" s="1">
        <v>3451</v>
      </c>
      <c r="H22" s="14" t="s">
        <v>118</v>
      </c>
    </row>
    <row r="23" spans="1:8" x14ac:dyDescent="0.3">
      <c r="A23" t="s">
        <v>101</v>
      </c>
      <c r="B23" s="1" t="s">
        <v>25</v>
      </c>
      <c r="C23" s="1" t="s">
        <v>58</v>
      </c>
      <c r="D23" s="1" t="s">
        <v>87</v>
      </c>
      <c r="E23" s="1" t="s">
        <v>66</v>
      </c>
      <c r="F23" s="1" t="s">
        <v>72</v>
      </c>
      <c r="G23" s="4">
        <v>1989.5436</v>
      </c>
      <c r="H23" s="14" t="s">
        <v>116</v>
      </c>
    </row>
    <row r="24" spans="1:8" x14ac:dyDescent="0.3">
      <c r="A24" t="s">
        <v>101</v>
      </c>
      <c r="B24" s="1" t="s">
        <v>34</v>
      </c>
      <c r="C24" s="1" t="s">
        <v>58</v>
      </c>
      <c r="D24" s="1" t="s">
        <v>104</v>
      </c>
      <c r="E24" s="1" t="s">
        <v>69</v>
      </c>
      <c r="F24" s="1" t="s">
        <v>72</v>
      </c>
      <c r="G24" s="4">
        <v>1800</v>
      </c>
      <c r="H24" t="s">
        <v>120</v>
      </c>
    </row>
    <row r="25" spans="1:8" x14ac:dyDescent="0.3">
      <c r="A25" t="s">
        <v>101</v>
      </c>
      <c r="B25" s="1" t="s">
        <v>10</v>
      </c>
      <c r="C25" s="1" t="s">
        <v>85</v>
      </c>
      <c r="D25" s="1" t="s">
        <v>85</v>
      </c>
      <c r="E25" s="1" t="s">
        <v>68</v>
      </c>
      <c r="F25" s="1" t="s">
        <v>72</v>
      </c>
      <c r="G25" s="1">
        <v>150</v>
      </c>
      <c r="H25" s="14" t="s">
        <v>117</v>
      </c>
    </row>
    <row r="26" spans="1:8" x14ac:dyDescent="0.3">
      <c r="A26" t="s">
        <v>101</v>
      </c>
      <c r="B26" s="1" t="s">
        <v>35</v>
      </c>
      <c r="C26" s="1" t="s">
        <v>84</v>
      </c>
      <c r="D26" s="1" t="s">
        <v>55</v>
      </c>
      <c r="E26" s="1" t="s">
        <v>69</v>
      </c>
      <c r="F26" s="1" t="s">
        <v>72</v>
      </c>
      <c r="G26" s="1">
        <v>2910</v>
      </c>
      <c r="H26" s="14" t="s">
        <v>117</v>
      </c>
    </row>
    <row r="27" spans="1:8" x14ac:dyDescent="0.3">
      <c r="A27" t="s">
        <v>101</v>
      </c>
      <c r="B27" s="1" t="s">
        <v>33</v>
      </c>
      <c r="C27" s="1" t="s">
        <v>84</v>
      </c>
      <c r="D27" s="1" t="s">
        <v>60</v>
      </c>
      <c r="E27" s="1" t="s">
        <v>67</v>
      </c>
      <c r="F27" s="1" t="s">
        <v>72</v>
      </c>
      <c r="G27" s="1">
        <v>795</v>
      </c>
      <c r="H27" s="14" t="s">
        <v>116</v>
      </c>
    </row>
    <row r="28" spans="1:8" x14ac:dyDescent="0.3">
      <c r="A28" t="s">
        <v>101</v>
      </c>
      <c r="B28" s="1" t="s">
        <v>5</v>
      </c>
      <c r="C28" s="1" t="s">
        <v>84</v>
      </c>
      <c r="D28" s="1" t="s">
        <v>62</v>
      </c>
      <c r="E28" s="1" t="s">
        <v>69</v>
      </c>
      <c r="F28" s="1" t="s">
        <v>72</v>
      </c>
      <c r="G28" s="1">
        <v>1752</v>
      </c>
      <c r="H28" t="s">
        <v>122</v>
      </c>
    </row>
    <row r="29" spans="1:8" x14ac:dyDescent="0.3">
      <c r="A29" t="s">
        <v>101</v>
      </c>
      <c r="B29" s="1" t="s">
        <v>37</v>
      </c>
      <c r="C29" s="1" t="s">
        <v>58</v>
      </c>
      <c r="D29" s="1" t="s">
        <v>88</v>
      </c>
      <c r="E29" s="1" t="s">
        <v>68</v>
      </c>
      <c r="F29" s="1" t="s">
        <v>72</v>
      </c>
      <c r="G29" s="4">
        <v>939.16039999999998</v>
      </c>
      <c r="H29" t="s">
        <v>120</v>
      </c>
    </row>
    <row r="30" spans="1:8" x14ac:dyDescent="0.3">
      <c r="A30" t="s">
        <v>97</v>
      </c>
      <c r="B30" s="1" t="s">
        <v>28</v>
      </c>
      <c r="C30" s="1" t="s">
        <v>84</v>
      </c>
      <c r="D30" s="1" t="s">
        <v>86</v>
      </c>
      <c r="E30" s="1" t="s">
        <v>69</v>
      </c>
      <c r="F30" s="1" t="s">
        <v>72</v>
      </c>
      <c r="G30" s="1">
        <v>780</v>
      </c>
      <c r="H30" s="14" t="s">
        <v>116</v>
      </c>
    </row>
    <row r="31" spans="1:8" x14ac:dyDescent="0.3">
      <c r="A31" t="s">
        <v>97</v>
      </c>
      <c r="B31" s="1" t="s">
        <v>14</v>
      </c>
      <c r="C31" s="1" t="s">
        <v>84</v>
      </c>
      <c r="D31" s="1" t="s">
        <v>61</v>
      </c>
      <c r="E31" s="1" t="s">
        <v>74</v>
      </c>
      <c r="F31" s="1" t="s">
        <v>78</v>
      </c>
      <c r="G31" s="1">
        <v>2938</v>
      </c>
      <c r="H31" t="s">
        <v>123</v>
      </c>
    </row>
    <row r="32" spans="1:8" x14ac:dyDescent="0.3">
      <c r="A32" t="s">
        <v>97</v>
      </c>
      <c r="B32" s="1" t="s">
        <v>37</v>
      </c>
      <c r="C32" s="1" t="s">
        <v>84</v>
      </c>
      <c r="D32" s="1" t="s">
        <v>86</v>
      </c>
      <c r="E32" s="1" t="s">
        <v>66</v>
      </c>
      <c r="F32" s="1" t="s">
        <v>72</v>
      </c>
      <c r="G32" s="1">
        <v>850</v>
      </c>
      <c r="H32" s="14" t="s">
        <v>116</v>
      </c>
    </row>
    <row r="33" spans="1:8" x14ac:dyDescent="0.3">
      <c r="A33" t="s">
        <v>97</v>
      </c>
      <c r="B33" s="1" t="s">
        <v>35</v>
      </c>
      <c r="C33" s="1" t="s">
        <v>58</v>
      </c>
      <c r="D33" s="1" t="s">
        <v>90</v>
      </c>
      <c r="E33" s="1" t="s">
        <v>74</v>
      </c>
      <c r="F33" s="1" t="s">
        <v>78</v>
      </c>
      <c r="G33" s="4">
        <v>9000</v>
      </c>
      <c r="H33" s="14" t="s">
        <v>124</v>
      </c>
    </row>
    <row r="34" spans="1:8" x14ac:dyDescent="0.3">
      <c r="A34" t="s">
        <v>97</v>
      </c>
      <c r="B34" s="1" t="s">
        <v>5</v>
      </c>
      <c r="C34" s="1" t="s">
        <v>58</v>
      </c>
      <c r="D34" s="1" t="s">
        <v>87</v>
      </c>
      <c r="E34" s="1" t="s">
        <v>67</v>
      </c>
      <c r="F34" s="1" t="s">
        <v>72</v>
      </c>
      <c r="G34" s="4">
        <v>700</v>
      </c>
      <c r="H34" s="14" t="s">
        <v>117</v>
      </c>
    </row>
    <row r="35" spans="1:8" x14ac:dyDescent="0.3">
      <c r="A35" t="s">
        <v>97</v>
      </c>
      <c r="B35" s="1" t="s">
        <v>42</v>
      </c>
      <c r="C35" s="1" t="s">
        <v>84</v>
      </c>
      <c r="D35" s="1" t="s">
        <v>55</v>
      </c>
      <c r="E35" s="1" t="s">
        <v>67</v>
      </c>
      <c r="F35" s="1" t="s">
        <v>72</v>
      </c>
      <c r="G35" s="1">
        <v>410</v>
      </c>
      <c r="H35" t="s">
        <v>123</v>
      </c>
    </row>
    <row r="36" spans="1:8" x14ac:dyDescent="0.3">
      <c r="A36" t="s">
        <v>97</v>
      </c>
      <c r="B36" s="1" t="s">
        <v>2</v>
      </c>
      <c r="C36" s="1" t="s">
        <v>85</v>
      </c>
      <c r="D36" s="1" t="s">
        <v>85</v>
      </c>
      <c r="E36" s="1" t="s">
        <v>70</v>
      </c>
      <c r="F36" s="1" t="s">
        <v>72</v>
      </c>
      <c r="G36" s="1">
        <v>450</v>
      </c>
      <c r="H36" s="14" t="s">
        <v>116</v>
      </c>
    </row>
    <row r="37" spans="1:8" x14ac:dyDescent="0.3">
      <c r="A37" t="s">
        <v>96</v>
      </c>
      <c r="B37" s="1" t="s">
        <v>47</v>
      </c>
      <c r="C37" s="1" t="s">
        <v>85</v>
      </c>
      <c r="D37" s="1" t="s">
        <v>85</v>
      </c>
      <c r="E37" s="1" t="s">
        <v>76</v>
      </c>
      <c r="F37" s="1" t="s">
        <v>80</v>
      </c>
      <c r="G37" s="1">
        <v>310</v>
      </c>
      <c r="H37" s="14" t="s">
        <v>116</v>
      </c>
    </row>
    <row r="38" spans="1:8" x14ac:dyDescent="0.3">
      <c r="A38" t="s">
        <v>96</v>
      </c>
      <c r="B38" s="1" t="s">
        <v>49</v>
      </c>
      <c r="C38" s="1" t="s">
        <v>84</v>
      </c>
      <c r="D38" s="1" t="s">
        <v>60</v>
      </c>
      <c r="E38" s="1" t="s">
        <v>75</v>
      </c>
      <c r="F38" s="1" t="s">
        <v>79</v>
      </c>
      <c r="G38" s="1">
        <v>310</v>
      </c>
      <c r="H38" t="s">
        <v>123</v>
      </c>
    </row>
    <row r="39" spans="1:8" x14ac:dyDescent="0.3">
      <c r="A39" t="s">
        <v>96</v>
      </c>
      <c r="B39" s="1" t="s">
        <v>3</v>
      </c>
      <c r="C39" s="1" t="s">
        <v>84</v>
      </c>
      <c r="D39" s="1" t="s">
        <v>86</v>
      </c>
      <c r="E39" s="1" t="s">
        <v>68</v>
      </c>
      <c r="F39" s="1" t="s">
        <v>72</v>
      </c>
      <c r="G39" s="1">
        <v>3440</v>
      </c>
      <c r="H39" s="14" t="s">
        <v>116</v>
      </c>
    </row>
    <row r="40" spans="1:8" x14ac:dyDescent="0.3">
      <c r="A40" t="s">
        <v>96</v>
      </c>
      <c r="B40" s="1" t="s">
        <v>28</v>
      </c>
      <c r="C40" s="1" t="s">
        <v>57</v>
      </c>
      <c r="D40" s="1" t="s">
        <v>57</v>
      </c>
      <c r="E40" s="1" t="s">
        <v>74</v>
      </c>
      <c r="F40" s="1" t="s">
        <v>78</v>
      </c>
      <c r="G40" s="1">
        <v>280</v>
      </c>
      <c r="H40" s="14" t="s">
        <v>119</v>
      </c>
    </row>
    <row r="41" spans="1:8" x14ac:dyDescent="0.3">
      <c r="A41" t="s">
        <v>96</v>
      </c>
      <c r="B41" s="1" t="s">
        <v>51</v>
      </c>
      <c r="C41" s="1" t="s">
        <v>58</v>
      </c>
      <c r="D41" s="1" t="s">
        <v>87</v>
      </c>
      <c r="E41" s="1" t="s">
        <v>76</v>
      </c>
      <c r="F41" s="1" t="s">
        <v>80</v>
      </c>
      <c r="G41" s="4">
        <v>10000</v>
      </c>
      <c r="H41" s="14" t="s">
        <v>116</v>
      </c>
    </row>
    <row r="42" spans="1:8" x14ac:dyDescent="0.3">
      <c r="A42" t="s">
        <v>96</v>
      </c>
      <c r="B42" s="1" t="s">
        <v>47</v>
      </c>
      <c r="C42" s="1" t="s">
        <v>84</v>
      </c>
      <c r="D42" s="1" t="s">
        <v>86</v>
      </c>
      <c r="E42" s="1" t="s">
        <v>66</v>
      </c>
      <c r="F42" s="1" t="s">
        <v>72</v>
      </c>
      <c r="G42" s="1">
        <v>1370</v>
      </c>
      <c r="H42" t="s">
        <v>120</v>
      </c>
    </row>
    <row r="43" spans="1:8" x14ac:dyDescent="0.3">
      <c r="A43" t="s">
        <v>96</v>
      </c>
      <c r="B43" s="1" t="s">
        <v>54</v>
      </c>
      <c r="C43" s="1" t="s">
        <v>84</v>
      </c>
      <c r="D43" s="1" t="s">
        <v>59</v>
      </c>
      <c r="E43" s="1" t="s">
        <v>73</v>
      </c>
      <c r="F43" s="1" t="s">
        <v>77</v>
      </c>
      <c r="G43" s="1">
        <v>3640</v>
      </c>
      <c r="H43" s="14" t="s">
        <v>118</v>
      </c>
    </row>
    <row r="44" spans="1:8" x14ac:dyDescent="0.3">
      <c r="A44" t="s">
        <v>100</v>
      </c>
      <c r="B44" s="1" t="s">
        <v>40</v>
      </c>
      <c r="C44" s="1" t="s">
        <v>84</v>
      </c>
      <c r="D44" s="1" t="s">
        <v>60</v>
      </c>
      <c r="E44" s="1" t="s">
        <v>74</v>
      </c>
      <c r="F44" s="1" t="s">
        <v>78</v>
      </c>
      <c r="G44" s="1">
        <v>3280</v>
      </c>
      <c r="H44" t="s">
        <v>120</v>
      </c>
    </row>
    <row r="45" spans="1:8" x14ac:dyDescent="0.3">
      <c r="A45" t="s">
        <v>98</v>
      </c>
      <c r="B45" s="1" t="s">
        <v>28</v>
      </c>
      <c r="C45" s="1" t="s">
        <v>84</v>
      </c>
      <c r="D45" s="1" t="s">
        <v>61</v>
      </c>
      <c r="E45" s="1" t="s">
        <v>75</v>
      </c>
      <c r="F45" s="1" t="s">
        <v>79</v>
      </c>
      <c r="G45" s="1">
        <v>3080</v>
      </c>
      <c r="H45" t="s">
        <v>121</v>
      </c>
    </row>
  </sheetData>
  <autoFilter ref="A1:H45" xr:uid="{5904C39F-838C-4643-976C-4B3E0B3B3C7E}"/>
  <phoneticPr fontId="2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Vencimiento Ofertas</vt:lpstr>
      <vt:lpstr>Cuentas por cobrar</vt:lpstr>
      <vt:lpstr>Ventas</vt:lpstr>
      <vt:lpstr>Ofertas perdidas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Paris</dc:creator>
  <cp:lastModifiedBy>Grecia Rosales</cp:lastModifiedBy>
  <dcterms:created xsi:type="dcterms:W3CDTF">2025-07-03T17:19:25Z</dcterms:created>
  <dcterms:modified xsi:type="dcterms:W3CDTF">2025-07-08T23:00:59Z</dcterms:modified>
</cp:coreProperties>
</file>